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10221D7F-2252-49EB-BB85-D0B9A411A22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K39" i="7" s="1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J14" i="7" l="1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M14" i="7" s="1"/>
  <c r="J7" i="7"/>
  <c r="I45" i="7"/>
  <c r="J10" i="7"/>
  <c r="J70" i="10"/>
  <c r="B6" i="19" s="1"/>
  <c r="J46" i="7"/>
  <c r="M46" i="7" s="1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M6" i="7" s="1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M35" i="7" s="1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M29" i="7" s="1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8" i="7" l="1"/>
  <c r="N8" i="7" s="1"/>
  <c r="M23" i="7"/>
  <c r="N23" i="7" s="1"/>
  <c r="C1" i="21"/>
  <c r="N14" i="7"/>
  <c r="O14" i="7" s="1"/>
  <c r="M37" i="7"/>
  <c r="M40" i="7"/>
  <c r="M21" i="7"/>
  <c r="M44" i="7"/>
  <c r="N44" i="7" s="1"/>
  <c r="O44" i="7" s="1"/>
  <c r="M39" i="7"/>
  <c r="N39" i="7" s="1"/>
  <c r="M43" i="7"/>
  <c r="M27" i="7"/>
  <c r="N27" i="7" s="1"/>
  <c r="M45" i="7"/>
  <c r="N45" i="7" s="1"/>
  <c r="M41" i="7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N43" i="7"/>
  <c r="O43" i="7" s="1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N6" i="7"/>
  <c r="Q6" i="7" s="1"/>
  <c r="M11" i="7"/>
  <c r="N11" i="7" s="1"/>
  <c r="P11" i="7" s="1"/>
  <c r="AH11" i="7" s="1"/>
  <c r="Q48" i="7"/>
  <c r="AI48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Q35" i="7" s="1"/>
  <c r="N41" i="7"/>
  <c r="Q41" i="7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N21" i="7"/>
  <c r="P21" i="7" s="1"/>
  <c r="K39" i="10"/>
  <c r="C3" i="15" s="1"/>
  <c r="M12" i="7"/>
  <c r="N12" i="7" s="1"/>
  <c r="K76" i="10"/>
  <c r="C5" i="20" s="1"/>
  <c r="N40" i="7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N10" i="7"/>
  <c r="O10" i="7" s="1"/>
  <c r="K88" i="10"/>
  <c r="K58" i="10"/>
  <c r="C8" i="17" s="1"/>
  <c r="K89" i="10"/>
  <c r="K38" i="10"/>
  <c r="C2" i="15" s="1"/>
  <c r="E52" i="10"/>
  <c r="P20" i="7"/>
  <c r="AG14" i="7"/>
  <c r="N37" i="7"/>
  <c r="M38" i="7"/>
  <c r="N38" i="7" s="1"/>
  <c r="M13" i="7"/>
  <c r="N13" i="7" s="1"/>
  <c r="P14" i="7"/>
  <c r="Q14" i="7"/>
  <c r="Q15" i="7" l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R20" i="7" s="1"/>
  <c r="U20" i="7" s="1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R10" i="7" s="1"/>
  <c r="U10" i="7" s="1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14" i="7"/>
  <c r="AI6" i="7"/>
  <c r="AI15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AH50" i="7" l="1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S20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T2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T47" i="7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AG40" i="7"/>
  <c r="AJ40" i="7" s="1"/>
  <c r="S40" i="7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T10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S37" i="7"/>
  <c r="AI38" i="7"/>
  <c r="Y29" i="7"/>
  <c r="X29" i="7"/>
  <c r="W29" i="7"/>
  <c r="V29" i="7"/>
  <c r="AH38" i="7"/>
  <c r="AI12" i="7"/>
  <c r="AG7" i="7"/>
  <c r="R7" i="7"/>
  <c r="U7" i="7" s="1"/>
  <c r="AI51" i="7"/>
  <c r="AH45" i="7"/>
  <c r="U42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Y10" i="7"/>
  <c r="X10" i="7"/>
  <c r="V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U34" i="7"/>
  <c r="T44" i="7"/>
  <c r="V20" i="7"/>
  <c r="Y20" i="7"/>
  <c r="X20" i="7"/>
  <c r="W20" i="7"/>
  <c r="AI27" i="7"/>
  <c r="N58" i="10" l="1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Z26" i="7" s="1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Z20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AB34" i="7"/>
  <c r="AB10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A20" i="7"/>
  <c r="AJ48" i="7"/>
  <c r="AJ16" i="7"/>
  <c r="AL44" i="7"/>
  <c r="T38" i="7"/>
  <c r="Z34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G1" i="13"/>
  <c r="G1" i="16"/>
  <c r="O77" i="10"/>
  <c r="G6" i="20" s="1"/>
  <c r="O71" i="10"/>
  <c r="G7" i="19" s="1"/>
  <c r="O61" i="10"/>
  <c r="G4" i="18" s="1"/>
  <c r="O26" i="10"/>
  <c r="G4" i="13" s="1"/>
  <c r="AJ46" i="7"/>
  <c r="AL43" i="7"/>
  <c r="AA10" i="7"/>
  <c r="AB20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A26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34" i="7"/>
  <c r="AB26" i="7"/>
  <c r="Z10" i="7"/>
  <c r="AA44" i="7"/>
  <c r="AJ17" i="7"/>
  <c r="S51" i="7"/>
  <c r="AM36" i="7" l="1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AC20" i="7"/>
  <c r="AD20" i="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O36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AC26" i="7"/>
  <c r="AD26" i="7" s="1"/>
  <c r="Z16" i="7"/>
  <c r="AB47" i="7"/>
  <c r="AM14" i="7"/>
  <c r="AN14" i="7" s="1"/>
  <c r="AM19" i="7"/>
  <c r="AN19" i="7" s="1"/>
  <c r="AM49" i="7"/>
  <c r="AO49" i="7" s="1"/>
  <c r="AN49" i="7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C10" i="7"/>
  <c r="AD10" i="7" s="1"/>
  <c r="AM28" i="7"/>
  <c r="AO28" i="7" s="1"/>
  <c r="AM35" i="7"/>
  <c r="AN35" i="7" s="1"/>
  <c r="AM45" i="7"/>
  <c r="AO45" i="7" s="1"/>
  <c r="AN45" i="7"/>
  <c r="AA12" i="7"/>
  <c r="AM53" i="7"/>
  <c r="AN53" i="7"/>
  <c r="AM51" i="7"/>
  <c r="AO51" i="7" s="1"/>
  <c r="AA27" i="7"/>
  <c r="H1" i="11"/>
  <c r="P47" i="10"/>
  <c r="H4" i="16" s="1"/>
  <c r="P51" i="10"/>
  <c r="H8" i="16" s="1"/>
  <c r="P19" i="10"/>
  <c r="H4" i="12" s="1"/>
  <c r="P37" i="10"/>
  <c r="H8" i="14" s="1"/>
  <c r="Z37" i="7"/>
  <c r="AM23" i="7"/>
  <c r="AN23" i="7" s="1"/>
  <c r="AC34" i="7"/>
  <c r="AD34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N27" i="7"/>
  <c r="AA28" i="7"/>
  <c r="AM39" i="7"/>
  <c r="AN39" i="7" s="1"/>
  <c r="AM52" i="7"/>
  <c r="AO52" i="7" s="1"/>
  <c r="Z12" i="7"/>
  <c r="Z23" i="7"/>
  <c r="AM12" i="7"/>
  <c r="AO12" i="7" s="1"/>
  <c r="AM8" i="7"/>
  <c r="AP8" i="7" s="1"/>
  <c r="AN8" i="7"/>
  <c r="AM42" i="7"/>
  <c r="AN42" i="7" s="1"/>
  <c r="AM43" i="7"/>
  <c r="AN43" i="7"/>
  <c r="Z13" i="7"/>
  <c r="Z38" i="7"/>
  <c r="AN36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S36" i="7"/>
  <c r="AT36" i="7"/>
  <c r="AR36" i="7"/>
  <c r="AQ36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N30" i="7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P92" i="10" l="1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V36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E16" i="10"/>
  <c r="AP20" i="7"/>
  <c r="AW36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Q63" i="10"/>
  <c r="I6" i="18" s="1"/>
  <c r="Q72" i="10"/>
  <c r="I8" i="19" s="1"/>
  <c r="Q73" i="10"/>
  <c r="I2" i="20" s="1"/>
  <c r="Q87" i="10"/>
  <c r="AO32" i="7"/>
  <c r="AS21" i="7"/>
  <c r="AR21" i="7"/>
  <c r="AT21" i="7"/>
  <c r="AQ21" i="7"/>
  <c r="AP21" i="7"/>
  <c r="AO41" i="7"/>
  <c r="AO19" i="7"/>
  <c r="AW40" i="7"/>
  <c r="AU36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I1" i="21" l="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X10" i="7" s="1"/>
  <c r="AY10" i="7" s="1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F14" i="10" s="1"/>
  <c r="F84" i="10" s="1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X36" i="7"/>
  <c r="AY36" i="7" s="1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J1" i="22"/>
  <c r="J1" i="18"/>
  <c r="J1" i="21"/>
  <c r="J1" i="17"/>
  <c r="J1" i="15"/>
  <c r="J1" i="16"/>
  <c r="J1" i="12"/>
  <c r="R57" i="10"/>
  <c r="J7" i="17" s="1"/>
  <c r="R68" i="10"/>
  <c r="J4" i="19" s="1"/>
  <c r="R47" i="10"/>
  <c r="J4" i="16" s="1"/>
  <c r="R42" i="10"/>
  <c r="J6" i="15" s="1"/>
  <c r="R63" i="10"/>
  <c r="J6" i="18" s="1"/>
  <c r="J1" i="19"/>
  <c r="R76" i="10"/>
  <c r="J5" i="20" s="1"/>
  <c r="R48" i="10"/>
  <c r="J5" i="16" s="1"/>
  <c r="R92" i="10"/>
  <c r="R74" i="10"/>
  <c r="J3" i="20" s="1"/>
  <c r="R64" i="10"/>
  <c r="J7" i="18" s="1"/>
  <c r="R73" i="10"/>
  <c r="J2" i="20" s="1"/>
  <c r="R65" i="10"/>
  <c r="J8" i="18" s="1"/>
  <c r="R56" i="10"/>
  <c r="J6" i="17" s="1"/>
  <c r="R29" i="10"/>
  <c r="J7" i="13" s="1"/>
  <c r="R60" i="10"/>
  <c r="J3" i="18" s="1"/>
  <c r="R22" i="10"/>
  <c r="J7" i="12" s="1"/>
  <c r="R20" i="10"/>
  <c r="J5" i="12" s="1"/>
  <c r="R35" i="10"/>
  <c r="J6" i="14" s="1"/>
  <c r="R40" i="10"/>
  <c r="J4" i="15" s="1"/>
  <c r="R23" i="10"/>
  <c r="J8" i="12" s="1"/>
  <c r="R18" i="10"/>
  <c r="J3" i="12" s="1"/>
  <c r="R25" i="10"/>
  <c r="J3" i="13" s="1"/>
  <c r="R53" i="10"/>
  <c r="J3" i="17" s="1"/>
  <c r="R39" i="10"/>
  <c r="J3" i="15" s="1"/>
  <c r="R51" i="10"/>
  <c r="J8" i="16" s="1"/>
  <c r="R33" i="10"/>
  <c r="J4" i="14" s="1"/>
  <c r="R54" i="10"/>
  <c r="J4" i="17" s="1"/>
  <c r="R28" i="10"/>
  <c r="J6" i="13" s="1"/>
  <c r="S9" i="10"/>
  <c r="R71" i="10"/>
  <c r="J7" i="19" s="1"/>
  <c r="R75" i="10"/>
  <c r="J4" i="20" s="1"/>
  <c r="R43" i="10"/>
  <c r="J7" i="15" s="1"/>
  <c r="R36" i="10"/>
  <c r="J7" i="14" s="1"/>
  <c r="R58" i="10"/>
  <c r="J8" i="17" s="1"/>
  <c r="R59" i="10"/>
  <c r="J2" i="18" s="1"/>
  <c r="R67" i="10"/>
  <c r="J3" i="19" s="1"/>
  <c r="R38" i="10"/>
  <c r="J2" i="15" s="1"/>
  <c r="R49" i="10"/>
  <c r="J6" i="16" s="1"/>
  <c r="R93" i="10"/>
  <c r="R66" i="10"/>
  <c r="J2" i="19" s="1"/>
  <c r="R50" i="10"/>
  <c r="J7" i="16" s="1"/>
  <c r="R77" i="10"/>
  <c r="J6" i="20" s="1"/>
  <c r="R44" i="10"/>
  <c r="J8" i="15" s="1"/>
  <c r="R70" i="10"/>
  <c r="J6" i="19" s="1"/>
  <c r="R79" i="10"/>
  <c r="J8" i="20" s="1"/>
  <c r="R27" i="10"/>
  <c r="J5" i="13" s="1"/>
  <c r="R34" i="10"/>
  <c r="J5" i="14" s="1"/>
  <c r="R26" i="10"/>
  <c r="J4" i="13" s="1"/>
  <c r="R45" i="10"/>
  <c r="J2" i="16" s="1"/>
  <c r="R69" i="10"/>
  <c r="J5" i="19" s="1"/>
  <c r="R52" i="10"/>
  <c r="J2" i="17" s="1"/>
  <c r="R55" i="10"/>
  <c r="J5" i="17" s="1"/>
  <c r="AU37" i="7"/>
  <c r="AW45" i="7"/>
  <c r="AV35" i="7"/>
  <c r="AU23" i="7"/>
  <c r="AV47" i="7"/>
  <c r="AU35" i="7"/>
  <c r="AV37" i="7"/>
  <c r="AV21" i="7"/>
  <c r="AW41" i="7"/>
  <c r="E86" i="10"/>
  <c r="I16" i="10"/>
  <c r="F16" i="10"/>
  <c r="F86" i="10" s="1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E80" i="10"/>
  <c r="J10" i="10"/>
  <c r="B2" i="11" s="1"/>
  <c r="G10" i="10"/>
  <c r="AV11" i="7"/>
  <c r="R91" i="10" l="1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G84" i="10" s="1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G14" i="10"/>
  <c r="G16" i="10"/>
  <c r="G86" i="10"/>
  <c r="I86" i="10"/>
  <c r="AX20" i="7"/>
  <c r="AY20" i="7" s="1"/>
  <c r="AX24" i="7"/>
  <c r="AY24" i="7" s="1"/>
  <c r="AX22" i="7"/>
  <c r="AY22" i="7" s="1"/>
  <c r="J80" i="10"/>
  <c r="B2" i="21" s="1"/>
  <c r="I80" i="10"/>
  <c r="G80" i="10"/>
  <c r="I83" i="10"/>
  <c r="K1" i="22"/>
  <c r="K1" i="18"/>
  <c r="K1" i="19"/>
  <c r="K1" i="11"/>
  <c r="K1" i="14"/>
  <c r="K1" i="13"/>
  <c r="K1" i="15"/>
  <c r="K1" i="20"/>
  <c r="K1" i="17"/>
  <c r="K1" i="16"/>
  <c r="S57" i="10"/>
  <c r="K7" i="17" s="1"/>
  <c r="S47" i="10"/>
  <c r="K4" i="16" s="1"/>
  <c r="S42" i="10"/>
  <c r="K6" i="15" s="1"/>
  <c r="S89" i="10"/>
  <c r="S40" i="10"/>
  <c r="K4" i="15" s="1"/>
  <c r="S73" i="10"/>
  <c r="K2" i="20" s="1"/>
  <c r="K1" i="21"/>
  <c r="S29" i="10"/>
  <c r="K7" i="13" s="1"/>
  <c r="T9" i="10"/>
  <c r="S74" i="10"/>
  <c r="K3" i="20" s="1"/>
  <c r="S61" i="10"/>
  <c r="K4" i="18" s="1"/>
  <c r="S59" i="10"/>
  <c r="K2" i="18" s="1"/>
  <c r="S92" i="10"/>
  <c r="S76" i="10"/>
  <c r="K5" i="20" s="1"/>
  <c r="S68" i="10"/>
  <c r="K4" i="19" s="1"/>
  <c r="K1" i="12"/>
  <c r="S33" i="10"/>
  <c r="K4" i="14" s="1"/>
  <c r="S53" i="10"/>
  <c r="K3" i="17" s="1"/>
  <c r="S62" i="10"/>
  <c r="K5" i="18" s="1"/>
  <c r="S44" i="10"/>
  <c r="K8" i="15" s="1"/>
  <c r="S87" i="10"/>
  <c r="S93" i="10"/>
  <c r="S63" i="10"/>
  <c r="K6" i="18" s="1"/>
  <c r="S22" i="10"/>
  <c r="K7" i="12" s="1"/>
  <c r="S39" i="10"/>
  <c r="K3" i="15" s="1"/>
  <c r="S23" i="10"/>
  <c r="K8" i="12" s="1"/>
  <c r="S27" i="10"/>
  <c r="K5" i="13" s="1"/>
  <c r="S65" i="10"/>
  <c r="K8" i="18" s="1"/>
  <c r="S37" i="10"/>
  <c r="K8" i="14" s="1"/>
  <c r="S18" i="10"/>
  <c r="K3" i="12" s="1"/>
  <c r="S20" i="10"/>
  <c r="K5" i="12" s="1"/>
  <c r="S48" i="10"/>
  <c r="K5" i="16" s="1"/>
  <c r="S72" i="10"/>
  <c r="K8" i="19" s="1"/>
  <c r="S51" i="10"/>
  <c r="K8" i="16" s="1"/>
  <c r="S54" i="10"/>
  <c r="K4" i="17" s="1"/>
  <c r="S41" i="10"/>
  <c r="K5" i="15" s="1"/>
  <c r="S60" i="10"/>
  <c r="K3" i="18" s="1"/>
  <c r="S28" i="10"/>
  <c r="K6" i="13" s="1"/>
  <c r="S35" i="10"/>
  <c r="K6" i="14" s="1"/>
  <c r="S77" i="10"/>
  <c r="K6" i="20" s="1"/>
  <c r="S71" i="10"/>
  <c r="K7" i="19" s="1"/>
  <c r="S79" i="10"/>
  <c r="K8" i="20" s="1"/>
  <c r="S64" i="10"/>
  <c r="K7" i="18" s="1"/>
  <c r="S56" i="10"/>
  <c r="K6" i="17" s="1"/>
  <c r="S43" i="10"/>
  <c r="K7" i="15" s="1"/>
  <c r="S30" i="10"/>
  <c r="K8" i="13" s="1"/>
  <c r="S38" i="10"/>
  <c r="K2" i="15" s="1"/>
  <c r="S78" i="10"/>
  <c r="K7" i="20" s="1"/>
  <c r="S26" i="10"/>
  <c r="K4" i="13" s="1"/>
  <c r="S67" i="10"/>
  <c r="K3" i="19" s="1"/>
  <c r="S45" i="10"/>
  <c r="K2" i="16" s="1"/>
  <c r="S58" i="10"/>
  <c r="K8" i="17" s="1"/>
  <c r="S90" i="10"/>
  <c r="S34" i="10"/>
  <c r="K5" i="14" s="1"/>
  <c r="S70" i="10"/>
  <c r="K6" i="19" s="1"/>
  <c r="S88" i="10"/>
  <c r="S49" i="10"/>
  <c r="K6" i="16" s="1"/>
  <c r="S69" i="10"/>
  <c r="K5" i="19" s="1"/>
  <c r="S50" i="10"/>
  <c r="K7" i="16" s="1"/>
  <c r="S36" i="10"/>
  <c r="K7" i="14" s="1"/>
  <c r="S91" i="10"/>
  <c r="S19" i="10"/>
  <c r="K4" i="12" s="1"/>
  <c r="S25" i="10"/>
  <c r="K3" i="13" s="1"/>
  <c r="S75" i="10"/>
  <c r="K4" i="20" s="1"/>
  <c r="S32" i="10"/>
  <c r="K3" i="14" s="1"/>
  <c r="S46" i="10"/>
  <c r="K3" i="16" s="1"/>
  <c r="S66" i="10"/>
  <c r="K2" i="19" s="1"/>
  <c r="S52" i="10"/>
  <c r="K2" i="17" s="1"/>
  <c r="S55" i="10"/>
  <c r="K5" i="17" s="1"/>
  <c r="AX19" i="7"/>
  <c r="AY19" i="7" s="1"/>
  <c r="I82" i="10"/>
  <c r="AX13" i="7"/>
  <c r="AY13" i="7" s="1"/>
  <c r="G15" i="10"/>
  <c r="G81" i="10"/>
  <c r="I81" i="10"/>
  <c r="I85" i="10"/>
  <c r="AX29" i="7"/>
  <c r="AY29" i="7" s="1"/>
  <c r="AX37" i="7"/>
  <c r="AY37" i="7" s="1"/>
  <c r="T11" i="10" l="1"/>
  <c r="L3" i="11" s="1"/>
  <c r="G11" i="10"/>
  <c r="I84" i="10"/>
  <c r="J84" i="10"/>
  <c r="B6" i="21" s="1"/>
  <c r="G13" i="10"/>
  <c r="L13" i="10" s="1"/>
  <c r="D5" i="11" s="1"/>
  <c r="R13" i="10"/>
  <c r="J5" i="11" s="1"/>
  <c r="M13" i="10"/>
  <c r="E5" i="11" s="1"/>
  <c r="N13" i="10"/>
  <c r="F5" i="11" s="1"/>
  <c r="J13" i="10"/>
  <c r="B5" i="11" s="1"/>
  <c r="K13" i="10"/>
  <c r="C5" i="11" s="1"/>
  <c r="S13" i="10"/>
  <c r="K5" i="11" s="1"/>
  <c r="P13" i="10"/>
  <c r="H5" i="11" s="1"/>
  <c r="G12" i="10"/>
  <c r="J12" i="10" s="1"/>
  <c r="B4" i="11" s="1"/>
  <c r="M12" i="10"/>
  <c r="E4" i="11" s="1"/>
  <c r="N12" i="10"/>
  <c r="F4" i="11" s="1"/>
  <c r="L12" i="10"/>
  <c r="D4" i="11" s="1"/>
  <c r="K12" i="10"/>
  <c r="C4" i="11" s="1"/>
  <c r="S12" i="10"/>
  <c r="K4" i="11" s="1"/>
  <c r="O12" i="10"/>
  <c r="G4" i="11" s="1"/>
  <c r="P86" i="10"/>
  <c r="H8" i="21" s="1"/>
  <c r="O86" i="10"/>
  <c r="G8" i="21" s="1"/>
  <c r="K86" i="10"/>
  <c r="C8" i="21" s="1"/>
  <c r="N86" i="10"/>
  <c r="F8" i="21" s="1"/>
  <c r="M86" i="10"/>
  <c r="E8" i="21" s="1"/>
  <c r="S86" i="10"/>
  <c r="K8" i="21" s="1"/>
  <c r="R86" i="10"/>
  <c r="J8" i="21" s="1"/>
  <c r="Q86" i="10"/>
  <c r="I8" i="21" s="1"/>
  <c r="T86" i="10"/>
  <c r="L8" i="21" s="1"/>
  <c r="L86" i="10"/>
  <c r="D8" i="21" s="1"/>
  <c r="J86" i="10"/>
  <c r="B8" i="21" s="1"/>
  <c r="T85" i="10"/>
  <c r="L7" i="2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T81" i="10"/>
  <c r="L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T83" i="10"/>
  <c r="L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K15" i="10"/>
  <c r="C7" i="11" s="1"/>
  <c r="P15" i="10"/>
  <c r="H7" i="11" s="1"/>
  <c r="O15" i="10"/>
  <c r="G7" i="11" s="1"/>
  <c r="N15" i="10"/>
  <c r="F7" i="11" s="1"/>
  <c r="J15" i="10"/>
  <c r="B7" i="11" s="1"/>
  <c r="T15" i="10"/>
  <c r="L7" i="11" s="1"/>
  <c r="L15" i="10"/>
  <c r="D7" i="11" s="1"/>
  <c r="R15" i="10"/>
  <c r="J7" i="11" s="1"/>
  <c r="M15" i="10"/>
  <c r="E7" i="11" s="1"/>
  <c r="Q15" i="10"/>
  <c r="I7" i="11" s="1"/>
  <c r="S15" i="10"/>
  <c r="K7" i="11" s="1"/>
  <c r="L1" i="22"/>
  <c r="L1" i="14"/>
  <c r="L1" i="11"/>
  <c r="L1" i="16"/>
  <c r="L1" i="15"/>
  <c r="T89" i="10"/>
  <c r="L1" i="19"/>
  <c r="L1" i="18"/>
  <c r="L1" i="20"/>
  <c r="L1" i="12"/>
  <c r="T74" i="10"/>
  <c r="L3" i="20" s="1"/>
  <c r="L1" i="13"/>
  <c r="T42" i="10"/>
  <c r="L6" i="15" s="1"/>
  <c r="T92" i="10"/>
  <c r="T73" i="10"/>
  <c r="L2" i="20" s="1"/>
  <c r="T68" i="10"/>
  <c r="L4" i="19" s="1"/>
  <c r="T64" i="10"/>
  <c r="L7" i="18" s="1"/>
  <c r="T53" i="10"/>
  <c r="L3" i="17" s="1"/>
  <c r="T88" i="10"/>
  <c r="T62" i="10"/>
  <c r="L5" i="18" s="1"/>
  <c r="L1" i="21"/>
  <c r="T61" i="10"/>
  <c r="L4" i="18" s="1"/>
  <c r="T34" i="10"/>
  <c r="L5" i="14" s="1"/>
  <c r="T76" i="10"/>
  <c r="L5" i="20" s="1"/>
  <c r="T57" i="10"/>
  <c r="L7" i="17" s="1"/>
  <c r="T72" i="10"/>
  <c r="L8" i="19" s="1"/>
  <c r="T41" i="10"/>
  <c r="L5" i="15" s="1"/>
  <c r="T29" i="10"/>
  <c r="L7" i="13" s="1"/>
  <c r="U9" i="10"/>
  <c r="U12" i="10" s="1"/>
  <c r="M4" i="11" s="1"/>
  <c r="T33" i="10"/>
  <c r="L4" i="14" s="1"/>
  <c r="T54" i="10"/>
  <c r="L4" i="17" s="1"/>
  <c r="T48" i="10"/>
  <c r="L5" i="16" s="1"/>
  <c r="T47" i="10"/>
  <c r="L4" i="16" s="1"/>
  <c r="T39" i="10"/>
  <c r="L3" i="15" s="1"/>
  <c r="T44" i="10"/>
  <c r="L8" i="15" s="1"/>
  <c r="T46" i="10"/>
  <c r="L3" i="16" s="1"/>
  <c r="T70" i="10"/>
  <c r="L6" i="19" s="1"/>
  <c r="T37" i="10"/>
  <c r="L8" i="14" s="1"/>
  <c r="T60" i="10"/>
  <c r="L3" i="18" s="1"/>
  <c r="T59" i="10"/>
  <c r="L2" i="18" s="1"/>
  <c r="T63" i="10"/>
  <c r="L6" i="18" s="1"/>
  <c r="T67" i="10"/>
  <c r="L3" i="19" s="1"/>
  <c r="L1" i="17"/>
  <c r="T35" i="10"/>
  <c r="L6" i="14" s="1"/>
  <c r="T23" i="10"/>
  <c r="L8" i="12" s="1"/>
  <c r="T90" i="10"/>
  <c r="T43" i="10"/>
  <c r="L7" i="15" s="1"/>
  <c r="T58" i="10"/>
  <c r="L8" i="17" s="1"/>
  <c r="T78" i="10"/>
  <c r="L7" i="20" s="1"/>
  <c r="T75" i="10"/>
  <c r="L4" i="20" s="1"/>
  <c r="T38" i="10"/>
  <c r="L2" i="15" s="1"/>
  <c r="T45" i="10"/>
  <c r="L2" i="16" s="1"/>
  <c r="T20" i="10"/>
  <c r="L5" i="12" s="1"/>
  <c r="T91" i="10"/>
  <c r="T93" i="10"/>
  <c r="T40" i="10"/>
  <c r="L4" i="15" s="1"/>
  <c r="T77" i="10"/>
  <c r="L6" i="20" s="1"/>
  <c r="T49" i="10"/>
  <c r="L6" i="16" s="1"/>
  <c r="T28" i="10"/>
  <c r="L6" i="13" s="1"/>
  <c r="T65" i="10"/>
  <c r="L8" i="18" s="1"/>
  <c r="T19" i="10"/>
  <c r="L4" i="12" s="1"/>
  <c r="T30" i="10"/>
  <c r="L8" i="13" s="1"/>
  <c r="T51" i="10"/>
  <c r="L8" i="16" s="1"/>
  <c r="T22" i="10"/>
  <c r="L7" i="12" s="1"/>
  <c r="T27" i="10"/>
  <c r="L5" i="13" s="1"/>
  <c r="T32" i="10"/>
  <c r="L3" i="14" s="1"/>
  <c r="T69" i="10"/>
  <c r="L5" i="19" s="1"/>
  <c r="T25" i="10"/>
  <c r="L3" i="13" s="1"/>
  <c r="T50" i="10"/>
  <c r="L7" i="16" s="1"/>
  <c r="T87" i="10"/>
  <c r="T66" i="10"/>
  <c r="L2" i="19" s="1"/>
  <c r="T36" i="10"/>
  <c r="L7" i="14" s="1"/>
  <c r="T71" i="10"/>
  <c r="L7" i="19" s="1"/>
  <c r="T79" i="10"/>
  <c r="L8" i="20" s="1"/>
  <c r="T18" i="10"/>
  <c r="L3" i="12" s="1"/>
  <c r="T56" i="10"/>
  <c r="L6" i="17" s="1"/>
  <c r="T26" i="10"/>
  <c r="L4" i="13" s="1"/>
  <c r="T52" i="10"/>
  <c r="L2" i="17" s="1"/>
  <c r="T55" i="10"/>
  <c r="L5" i="17" s="1"/>
  <c r="O82" i="10"/>
  <c r="G4" i="21" s="1"/>
  <c r="S82" i="10"/>
  <c r="K4" i="21" s="1"/>
  <c r="T82" i="10"/>
  <c r="L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R16" i="10"/>
  <c r="J8" i="11" s="1"/>
  <c r="T16" i="10"/>
  <c r="L8" i="11" s="1"/>
  <c r="N16" i="10"/>
  <c r="F8" i="11" s="1"/>
  <c r="K16" i="10"/>
  <c r="C8" i="11" s="1"/>
  <c r="J16" i="10"/>
  <c r="B8" i="11" s="1"/>
  <c r="S16" i="10"/>
  <c r="K8" i="11" s="1"/>
  <c r="L16" i="10"/>
  <c r="D8" i="11" s="1"/>
  <c r="P16" i="10"/>
  <c r="H8" i="11" s="1"/>
  <c r="O16" i="10"/>
  <c r="G8" i="11" s="1"/>
  <c r="M16" i="10"/>
  <c r="E8" i="11" s="1"/>
  <c r="Q16" i="10"/>
  <c r="I8" i="11" s="1"/>
  <c r="R11" i="10" l="1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82" i="10"/>
  <c r="M4" i="21" s="1"/>
  <c r="U86" i="10"/>
  <c r="M8" i="21" s="1"/>
  <c r="U81" i="10"/>
  <c r="M3" i="21" s="1"/>
  <c r="M1" i="18"/>
  <c r="M1" i="14"/>
  <c r="M1" i="15"/>
  <c r="M1" i="16"/>
  <c r="M1" i="20"/>
  <c r="U89" i="10"/>
  <c r="M1" i="13"/>
  <c r="M1" i="22"/>
  <c r="U92" i="10"/>
  <c r="M1" i="17"/>
  <c r="U91" i="10"/>
  <c r="U68" i="10"/>
  <c r="M4" i="19" s="1"/>
  <c r="U64" i="10"/>
  <c r="M7" i="18" s="1"/>
  <c r="U18" i="10"/>
  <c r="M3" i="12" s="1"/>
  <c r="U87" i="10"/>
  <c r="U42" i="10"/>
  <c r="M6" i="15" s="1"/>
  <c r="V9" i="10"/>
  <c r="U40" i="10"/>
  <c r="M4" i="15" s="1"/>
  <c r="U74" i="10"/>
  <c r="M3" i="20" s="1"/>
  <c r="U29" i="10"/>
  <c r="M7" i="13" s="1"/>
  <c r="U67" i="10"/>
  <c r="M3" i="19" s="1"/>
  <c r="U33" i="10"/>
  <c r="M4" i="14" s="1"/>
  <c r="U54" i="10"/>
  <c r="M4" i="17" s="1"/>
  <c r="M1" i="12"/>
  <c r="U35" i="10"/>
  <c r="M6" i="14" s="1"/>
  <c r="M1" i="21"/>
  <c r="M1" i="11"/>
  <c r="U39" i="10"/>
  <c r="M3" i="15" s="1"/>
  <c r="U88" i="10"/>
  <c r="U47" i="10"/>
  <c r="M4" i="16" s="1"/>
  <c r="U34" i="10"/>
  <c r="M5" i="14" s="1"/>
  <c r="U63" i="10"/>
  <c r="M6" i="18" s="1"/>
  <c r="M1" i="19"/>
  <c r="U61" i="10"/>
  <c r="M4" i="18" s="1"/>
  <c r="U57" i="10"/>
  <c r="M7" i="17" s="1"/>
  <c r="U46" i="10"/>
  <c r="M3" i="16" s="1"/>
  <c r="U62" i="10"/>
  <c r="M5" i="18" s="1"/>
  <c r="U38" i="10"/>
  <c r="M2" i="15" s="1"/>
  <c r="U44" i="10"/>
  <c r="M8" i="15" s="1"/>
  <c r="U43" i="10"/>
  <c r="M7" i="15" s="1"/>
  <c r="U58" i="10"/>
  <c r="M8" i="17" s="1"/>
  <c r="U41" i="10"/>
  <c r="M5" i="15" s="1"/>
  <c r="U36" i="10"/>
  <c r="M7" i="14" s="1"/>
  <c r="U49" i="10"/>
  <c r="M6" i="16" s="1"/>
  <c r="U23" i="10"/>
  <c r="M8" i="12" s="1"/>
  <c r="U60" i="10"/>
  <c r="M3" i="18" s="1"/>
  <c r="U37" i="10"/>
  <c r="M8" i="14" s="1"/>
  <c r="U71" i="10"/>
  <c r="M7" i="19" s="1"/>
  <c r="U69" i="10"/>
  <c r="M5" i="19" s="1"/>
  <c r="U27" i="10"/>
  <c r="M5" i="13" s="1"/>
  <c r="U76" i="10"/>
  <c r="M5" i="20" s="1"/>
  <c r="U79" i="10"/>
  <c r="M8" i="20" s="1"/>
  <c r="U22" i="10"/>
  <c r="M7" i="12" s="1"/>
  <c r="U28" i="10"/>
  <c r="M6" i="13" s="1"/>
  <c r="U66" i="10"/>
  <c r="M2" i="19" s="1"/>
  <c r="U48" i="10"/>
  <c r="M5" i="16" s="1"/>
  <c r="U19" i="10"/>
  <c r="M4" i="12" s="1"/>
  <c r="U25" i="10"/>
  <c r="M3" i="13" s="1"/>
  <c r="U70" i="10"/>
  <c r="M6" i="19" s="1"/>
  <c r="U30" i="10"/>
  <c r="M8" i="13" s="1"/>
  <c r="U75" i="10"/>
  <c r="M4" i="20" s="1"/>
  <c r="U72" i="10"/>
  <c r="M8" i="19" s="1"/>
  <c r="U32" i="10"/>
  <c r="M3" i="14" s="1"/>
  <c r="U78" i="10"/>
  <c r="M7" i="20" s="1"/>
  <c r="U45" i="10"/>
  <c r="M2" i="16" s="1"/>
  <c r="U50" i="10"/>
  <c r="M7" i="16" s="1"/>
  <c r="U56" i="10"/>
  <c r="M6" i="17" s="1"/>
  <c r="U65" i="10"/>
  <c r="M8" i="18" s="1"/>
  <c r="U53" i="10"/>
  <c r="M3" i="17" s="1"/>
  <c r="U77" i="10"/>
  <c r="M6" i="20" s="1"/>
  <c r="U73" i="10"/>
  <c r="M2" i="20" s="1"/>
  <c r="U51" i="10"/>
  <c r="M8" i="16" s="1"/>
  <c r="U93" i="10"/>
  <c r="U26" i="10"/>
  <c r="M4" i="13" s="1"/>
  <c r="U20" i="10"/>
  <c r="M5" i="12" s="1"/>
  <c r="U59" i="10"/>
  <c r="M2" i="18" s="1"/>
  <c r="U90" i="10"/>
  <c r="U52" i="10"/>
  <c r="M2" i="17" s="1"/>
  <c r="U55" i="10"/>
  <c r="M5" i="17" s="1"/>
  <c r="U11" i="10"/>
  <c r="M3" i="11" s="1"/>
  <c r="U13" i="10"/>
  <c r="M5" i="11" s="1"/>
  <c r="U16" i="10"/>
  <c r="M8" i="11" s="1"/>
  <c r="U15" i="10"/>
  <c r="M7" i="11" s="1"/>
  <c r="U83" i="10"/>
  <c r="M5" i="21" s="1"/>
  <c r="U85" i="10"/>
  <c r="M7" i="21" s="1"/>
  <c r="N1" i="18" l="1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44" i="10"/>
  <c r="N8" i="15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93" i="10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36" i="10"/>
  <c r="N7" i="14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/>
  <c r="N4" i="11" s="1"/>
  <c r="O1" i="14" l="1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AH101" i="10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98" i="10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7" i="10" l="1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<sst xmlns="http://schemas.openxmlformats.org/spreadsheetml/2006/main" count="1579" uniqueCount="340">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</sst>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23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FL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334800</v>
      </c>
      <c r="C2">
        <f>SUMIFS(SYVbT_all!$D$4:$D$291,SYVbT_all!$A$4:$A$291,About!$B$2,SYVbT_all!$B$4:$B$291,$A2)</f>
        <v>400</v>
      </c>
      <c r="D2">
        <f>SUMIFS(SYVbT_all!$E$4:$E$291,SYVbT_all!$A$4:$A$291,About!$B$2,SYVbT_all!$B$4:$B$291,$A2)</f>
        <v>17568400</v>
      </c>
      <c r="E2">
        <f>SUMIFS(SYVbT_all!$F$4:$F$291,SYVbT_all!$A$4:$A$291,About!$B$2,SYVbT_all!$B$4:$B$291,$A2)</f>
        <v>82703</v>
      </c>
      <c r="F2">
        <f>SUMIFS(SYVbT_all!$G$4:$G$291,SYVbT_all!$A$4:$A$291,About!$B$2,SYVbT_all!$B$4:$B$291,$A2)</f>
        <v>70400</v>
      </c>
      <c r="G2">
        <f>SUMIFS(SYVbT_all!$H$4:$H$291,SYVbT_all!$A$4:$A$291,About!$B$2,SYVbT_all!$B$4:$B$291,$A2)</f>
        <v>100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16</v>
      </c>
      <c r="C3">
        <f>SUMIFS(SYVbT_all!$D$4:$D$291,SYVbT_all!$A$4:$A$291,About!$B$2,SYVbT_all!$B$4:$B$291,$A3)</f>
        <v>6834</v>
      </c>
      <c r="D3">
        <f>SUMIFS(SYVbT_all!$E$4:$E$291,SYVbT_all!$A$4:$A$291,About!$B$2,SYVbT_all!$B$4:$B$291,$A3)</f>
        <v>5378</v>
      </c>
      <c r="E3">
        <f>SUMIFS(SYVbT_all!$F$4:$F$291,SYVbT_all!$A$4:$A$291,About!$B$2,SYVbT_all!$B$4:$B$291,$A3)</f>
        <v>42728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2503</v>
      </c>
      <c r="H3">
        <f>SUMIFS(SYVbT_all!$I$4:$I$291,SYVbT_all!$A$4:$A$291,About!$B$2,SYVbT_all!$B$4:$B$291,$A3)</f>
        <v>9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717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26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9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763430</v>
      </c>
      <c r="E6">
        <f>SUMIFS(SYVbT_all!$F$4:$F$291,SYVbT_all!$A$4:$A$291,About!$B$2,SYVbT_all!$B$4:$B$291,$A6)</f>
        <v>186109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634364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0.74285714285714288</v>
      </c>
      <c r="F52">
        <f>E52</f>
        <v>0.74285714285714288</v>
      </c>
      <c r="G52" t="s">
        <v>329</v>
      </c>
      <c r="I52">
        <f t="shared" si="10"/>
        <v>0.74285714285714288</v>
      </c>
      <c r="J52">
        <f>IF($G52="s-curve",$E52+($F52-$E52)*$I$2/(1+EXP($I$3*(COUNT($I$9:J$9)+$I$4))),TREND($E52:$F52,$E$9:$F$9,J$9))</f>
        <v>0.74285714285714288</v>
      </c>
      <c r="K52">
        <f>IF($G52="s-curve",$E52+($F52-$E52)*$I$2/(1+EXP($I$3*(COUNT($I$9:K$9)+$I$4))),TREND($E52:$F52,$E$9:$F$9,K$9))</f>
        <v>0.74285714285714288</v>
      </c>
      <c r="L52">
        <f>IF($G52="s-curve",$E52+($F52-$E52)*$I$2/(1+EXP($I$3*(COUNT($I$9:L$9)+$I$4))),TREND($E52:$F52,$E$9:$F$9,L$9))</f>
        <v>0.74285714285714288</v>
      </c>
      <c r="M52">
        <f>IF($G52="s-curve",$E52+($F52-$E52)*$I$2/(1+EXP($I$3*(COUNT($I$9:M$9)+$I$4))),TREND($E52:$F52,$E$9:$F$9,M$9))</f>
        <v>0.74285714285714288</v>
      </c>
      <c r="N52">
        <f>IF($G52="s-curve",$E52+($F52-$E52)*$I$2/(1+EXP($I$3*(COUNT($I$9:N$9)+$I$4))),TREND($E52:$F52,$E$9:$F$9,N$9))</f>
        <v>0.74285714285714288</v>
      </c>
      <c r="O52">
        <f>IF($G52="s-curve",$E52+($F52-$E52)*$I$2/(1+EXP($I$3*(COUNT($I$9:O$9)+$I$4))),TREND($E52:$F52,$E$9:$F$9,O$9))</f>
        <v>0.74285714285714288</v>
      </c>
      <c r="P52">
        <f>IF($G52="s-curve",$E52+($F52-$E52)*$I$2/(1+EXP($I$3*(COUNT($I$9:P$9)+$I$4))),TREND($E52:$F52,$E$9:$F$9,P$9))</f>
        <v>0.74285714285714288</v>
      </c>
      <c r="Q52">
        <f>IF($G52="s-curve",$E52+($F52-$E52)*$I$2/(1+EXP($I$3*(COUNT($I$9:Q$9)+$I$4))),TREND($E52:$F52,$E$9:$F$9,Q$9))</f>
        <v>0.74285714285714288</v>
      </c>
      <c r="R52">
        <f>IF($G52="s-curve",$E52+($F52-$E52)*$I$2/(1+EXP($I$3*(COUNT($I$9:R$9)+$I$4))),TREND($E52:$F52,$E$9:$F$9,R$9))</f>
        <v>0.74285714285714288</v>
      </c>
      <c r="S52">
        <f>IF($G52="s-curve",$E52+($F52-$E52)*$I$2/(1+EXP($I$3*(COUNT($I$9:S$9)+$I$4))),TREND($E52:$F52,$E$9:$F$9,S$9))</f>
        <v>0.74285714285714288</v>
      </c>
      <c r="T52">
        <f>IF($G52="s-curve",$E52+($F52-$E52)*$I$2/(1+EXP($I$3*(COUNT($I$9:T$9)+$I$4))),TREND($E52:$F52,$E$9:$F$9,T$9))</f>
        <v>0.74285714285714288</v>
      </c>
      <c r="U52">
        <f>IF($G52="s-curve",$E52+($F52-$E52)*$I$2/(1+EXP($I$3*(COUNT($I$9:U$9)+$I$4))),TREND($E52:$F52,$E$9:$F$9,U$9))</f>
        <v>0.74285714285714288</v>
      </c>
      <c r="V52">
        <f>IF($G52="s-curve",$E52+($F52-$E52)*$I$2/(1+EXP($I$3*(COUNT($I$9:V$9)+$I$4))),TREND($E52:$F52,$E$9:$F$9,V$9))</f>
        <v>0.74285714285714288</v>
      </c>
      <c r="W52">
        <f>IF($G52="s-curve",$E52+($F52-$E52)*$I$2/(1+EXP($I$3*(COUNT($I$9:W$9)+$I$4))),TREND($E52:$F52,$E$9:$F$9,W$9))</f>
        <v>0.74285714285714288</v>
      </c>
      <c r="X52">
        <f>IF($G52="s-curve",$E52+($F52-$E52)*$I$2/(1+EXP($I$3*(COUNT($I$9:X$9)+$I$4))),TREND($E52:$F52,$E$9:$F$9,X$9))</f>
        <v>0.74285714285714288</v>
      </c>
      <c r="Y52">
        <f>IF($G52="s-curve",$E52+($F52-$E52)*$I$2/(1+EXP($I$3*(COUNT($I$9:Y$9)+$I$4))),TREND($E52:$F52,$E$9:$F$9,Y$9))</f>
        <v>0.74285714285714288</v>
      </c>
      <c r="Z52">
        <f>IF($G52="s-curve",$E52+($F52-$E52)*$I$2/(1+EXP($I$3*(COUNT($I$9:Z$9)+$I$4))),TREND($E52:$F52,$E$9:$F$9,Z$9))</f>
        <v>0.74285714285714288</v>
      </c>
      <c r="AA52">
        <f>IF($G52="s-curve",$E52+($F52-$E52)*$I$2/(1+EXP($I$3*(COUNT($I$9:AA$9)+$I$4))),TREND($E52:$F52,$E$9:$F$9,AA$9))</f>
        <v>0.74285714285714288</v>
      </c>
      <c r="AB52">
        <f>IF($G52="s-curve",$E52+($F52-$E52)*$I$2/(1+EXP($I$3*(COUNT($I$9:AB$9)+$I$4))),TREND($E52:$F52,$E$9:$F$9,AB$9))</f>
        <v>0.74285714285714288</v>
      </c>
      <c r="AC52">
        <f>IF($G52="s-curve",$E52+($F52-$E52)*$I$2/(1+EXP($I$3*(COUNT($I$9:AC$9)+$I$4))),TREND($E52:$F52,$E$9:$F$9,AC$9))</f>
        <v>0.74285714285714288</v>
      </c>
      <c r="AD52">
        <f>IF($G52="s-curve",$E52+($F52-$E52)*$I$2/(1+EXP($I$3*(COUNT($I$9:AD$9)+$I$4))),TREND($E52:$F52,$E$9:$F$9,AD$9))</f>
        <v>0.74285714285714288</v>
      </c>
      <c r="AE52">
        <f>IF($G52="s-curve",$E52+($F52-$E52)*$I$2/(1+EXP($I$3*(COUNT($I$9:AE$9)+$I$4))),TREND($E52:$F52,$E$9:$F$9,AE$9))</f>
        <v>0.74285714285714288</v>
      </c>
      <c r="AF52">
        <f>IF($G52="s-curve",$E52+($F52-$E52)*$I$2/(1+EXP($I$3*(COUNT($I$9:AF$9)+$I$4))),TREND($E52:$F52,$E$9:$F$9,AF$9))</f>
        <v>0.74285714285714288</v>
      </c>
      <c r="AG52">
        <f>IF($G52="s-curve",$E52+($F52-$E52)*$I$2/(1+EXP($I$3*(COUNT($I$9:AG$9)+$I$4))),TREND($E52:$F52,$E$9:$F$9,AG$9))</f>
        <v>0.74285714285714288</v>
      </c>
      <c r="AH52">
        <f>IF($G52="s-curve",$E52+($F52-$E52)*$I$2/(1+EXP($I$3*(COUNT($I$9:AH$9)+$I$4))),TREND($E52:$F52,$E$9:$F$9,AH$9))</f>
        <v>0.74285714285714288</v>
      </c>
      <c r="AI52">
        <f>IF($G52="s-curve",$E52+($F52-$E52)*$I$2/(1+EXP($I$3*(COUNT($I$9:AI$9)+$I$4))),TREND($E52:$F52,$E$9:$F$9,AI$9))</f>
        <v>0.74285714285714288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0.25714285714285712</v>
      </c>
      <c r="F55">
        <f>E55</f>
        <v>0.25714285714285712</v>
      </c>
      <c r="G55" t="str">
        <f>IF(E55=F55,"n/a",IF(OR(C55="battery electric vehicle",C55="natural gas vehicle",C55="plugin hybrid vehicle"),"s-curve","linear"))</f>
        <v>n/a</v>
      </c>
      <c r="I55">
        <f t="shared" si="10"/>
        <v>0.25714285714285712</v>
      </c>
      <c r="J55">
        <f>IF($G55="s-curve",$E55+($F55-$E55)*$I$2/(1+EXP($I$3*(COUNT($I$9:J$9)+$I$4))),TREND($E55:$F55,$E$9:$F$9,J$9))</f>
        <v>0.25714285714285712</v>
      </c>
      <c r="K55">
        <f>IF($G55="s-curve",$E55+($F55-$E55)*$I$2/(1+EXP($I$3*(COUNT($I$9:K$9)+$I$4))),TREND($E55:$F55,$E$9:$F$9,K$9))</f>
        <v>0.25714285714285712</v>
      </c>
      <c r="L55">
        <f>IF($G55="s-curve",$E55+($F55-$E55)*$I$2/(1+EXP($I$3*(COUNT($I$9:L$9)+$I$4))),TREND($E55:$F55,$E$9:$F$9,L$9))</f>
        <v>0.25714285714285712</v>
      </c>
      <c r="M55">
        <f>IF($G55="s-curve",$E55+($F55-$E55)*$I$2/(1+EXP($I$3*(COUNT($I$9:M$9)+$I$4))),TREND($E55:$F55,$E$9:$F$9,M$9))</f>
        <v>0.25714285714285712</v>
      </c>
      <c r="N55">
        <f>IF($G55="s-curve",$E55+($F55-$E55)*$I$2/(1+EXP($I$3*(COUNT($I$9:N$9)+$I$4))),TREND($E55:$F55,$E$9:$F$9,N$9))</f>
        <v>0.25714285714285712</v>
      </c>
      <c r="O55">
        <f>IF($G55="s-curve",$E55+($F55-$E55)*$I$2/(1+EXP($I$3*(COUNT($I$9:O$9)+$I$4))),TREND($E55:$F55,$E$9:$F$9,O$9))</f>
        <v>0.25714285714285712</v>
      </c>
      <c r="P55">
        <f>IF($G55="s-curve",$E55+($F55-$E55)*$I$2/(1+EXP($I$3*(COUNT($I$9:P$9)+$I$4))),TREND($E55:$F55,$E$9:$F$9,P$9))</f>
        <v>0.25714285714285712</v>
      </c>
      <c r="Q55">
        <f>IF($G55="s-curve",$E55+($F55-$E55)*$I$2/(1+EXP($I$3*(COUNT($I$9:Q$9)+$I$4))),TREND($E55:$F55,$E$9:$F$9,Q$9))</f>
        <v>0.25714285714285712</v>
      </c>
      <c r="R55">
        <f>IF($G55="s-curve",$E55+($F55-$E55)*$I$2/(1+EXP($I$3*(COUNT($I$9:R$9)+$I$4))),TREND($E55:$F55,$E$9:$F$9,R$9))</f>
        <v>0.25714285714285712</v>
      </c>
      <c r="S55">
        <f>IF($G55="s-curve",$E55+($F55-$E55)*$I$2/(1+EXP($I$3*(COUNT($I$9:S$9)+$I$4))),TREND($E55:$F55,$E$9:$F$9,S$9))</f>
        <v>0.25714285714285712</v>
      </c>
      <c r="T55">
        <f>IF($G55="s-curve",$E55+($F55-$E55)*$I$2/(1+EXP($I$3*(COUNT($I$9:T$9)+$I$4))),TREND($E55:$F55,$E$9:$F$9,T$9))</f>
        <v>0.25714285714285712</v>
      </c>
      <c r="U55">
        <f>IF($G55="s-curve",$E55+($F55-$E55)*$I$2/(1+EXP($I$3*(COUNT($I$9:U$9)+$I$4))),TREND($E55:$F55,$E$9:$F$9,U$9))</f>
        <v>0.25714285714285712</v>
      </c>
      <c r="V55">
        <f>IF($G55="s-curve",$E55+($F55-$E55)*$I$2/(1+EXP($I$3*(COUNT($I$9:V$9)+$I$4))),TREND($E55:$F55,$E$9:$F$9,V$9))</f>
        <v>0.25714285714285712</v>
      </c>
      <c r="W55">
        <f>IF($G55="s-curve",$E55+($F55-$E55)*$I$2/(1+EXP($I$3*(COUNT($I$9:W$9)+$I$4))),TREND($E55:$F55,$E$9:$F$9,W$9))</f>
        <v>0.25714285714285712</v>
      </c>
      <c r="X55">
        <f>IF($G55="s-curve",$E55+($F55-$E55)*$I$2/(1+EXP($I$3*(COUNT($I$9:X$9)+$I$4))),TREND($E55:$F55,$E$9:$F$9,X$9))</f>
        <v>0.25714285714285712</v>
      </c>
      <c r="Y55">
        <f>IF($G55="s-curve",$E55+($F55-$E55)*$I$2/(1+EXP($I$3*(COUNT($I$9:Y$9)+$I$4))),TREND($E55:$F55,$E$9:$F$9,Y$9))</f>
        <v>0.25714285714285712</v>
      </c>
      <c r="Z55">
        <f>IF($G55="s-curve",$E55+($F55-$E55)*$I$2/(1+EXP($I$3*(COUNT($I$9:Z$9)+$I$4))),TREND($E55:$F55,$E$9:$F$9,Z$9))</f>
        <v>0.25714285714285712</v>
      </c>
      <c r="AA55">
        <f>IF($G55="s-curve",$E55+($F55-$E55)*$I$2/(1+EXP($I$3*(COUNT($I$9:AA$9)+$I$4))),TREND($E55:$F55,$E$9:$F$9,AA$9))</f>
        <v>0.25714285714285712</v>
      </c>
      <c r="AB55">
        <f>IF($G55="s-curve",$E55+($F55-$E55)*$I$2/(1+EXP($I$3*(COUNT($I$9:AB$9)+$I$4))),TREND($E55:$F55,$E$9:$F$9,AB$9))</f>
        <v>0.25714285714285712</v>
      </c>
      <c r="AC55">
        <f>IF($G55="s-curve",$E55+($F55-$E55)*$I$2/(1+EXP($I$3*(COUNT($I$9:AC$9)+$I$4))),TREND($E55:$F55,$E$9:$F$9,AC$9))</f>
        <v>0.25714285714285712</v>
      </c>
      <c r="AD55">
        <f>IF($G55="s-curve",$E55+($F55-$E55)*$I$2/(1+EXP($I$3*(COUNT($I$9:AD$9)+$I$4))),TREND($E55:$F55,$E$9:$F$9,AD$9))</f>
        <v>0.25714285714285712</v>
      </c>
      <c r="AE55">
        <f>IF($G55="s-curve",$E55+($F55-$E55)*$I$2/(1+EXP($I$3*(COUNT($I$9:AE$9)+$I$4))),TREND($E55:$F55,$E$9:$F$9,AE$9))</f>
        <v>0.25714285714285712</v>
      </c>
      <c r="AF55">
        <f>IF($G55="s-curve",$E55+($F55-$E55)*$I$2/(1+EXP($I$3*(COUNT($I$9:AF$9)+$I$4))),TREND($E55:$F55,$E$9:$F$9,AF$9))</f>
        <v>0.25714285714285712</v>
      </c>
      <c r="AG55">
        <f>IF($G55="s-curve",$E55+($F55-$E55)*$I$2/(1+EXP($I$3*(COUNT($I$9:AG$9)+$I$4))),TREND($E55:$F55,$E$9:$F$9,AG$9))</f>
        <v>0.25714285714285712</v>
      </c>
      <c r="AH55">
        <f>IF($G55="s-curve",$E55+($F55-$E55)*$I$2/(1+EXP($I$3*(COUNT($I$9:AH$9)+$I$4))),TREND($E55:$F55,$E$9:$F$9,AH$9))</f>
        <v>0.25714285714285712</v>
      </c>
      <c r="AI55">
        <f>IF($G55="s-curve",$E55+($F55-$E55)*$I$2/(1+EXP($I$3*(COUNT($I$9:AI$9)+$I$4))),TREND($E55:$F55,$E$9:$F$9,AI$9))</f>
        <v>0.25714285714285712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0.74285714285714288</v>
      </c>
      <c r="C2">
        <f>Data!K52</f>
        <v>0.74285714285714288</v>
      </c>
      <c r="D2">
        <f>Data!L52</f>
        <v>0.74285714285714288</v>
      </c>
      <c r="E2">
        <f>Data!M52</f>
        <v>0.74285714285714288</v>
      </c>
      <c r="F2">
        <f>Data!N52</f>
        <v>0.74285714285714288</v>
      </c>
      <c r="G2">
        <f>Data!O52</f>
        <v>0.74285714285714288</v>
      </c>
      <c r="H2">
        <f>Data!P52</f>
        <v>0.74285714285714288</v>
      </c>
      <c r="I2">
        <f>Data!Q52</f>
        <v>0.74285714285714288</v>
      </c>
      <c r="J2">
        <f>Data!R52</f>
        <v>0.74285714285714288</v>
      </c>
      <c r="K2">
        <f>Data!S52</f>
        <v>0.74285714285714288</v>
      </c>
      <c r="L2">
        <f>Data!T52</f>
        <v>0.74285714285714288</v>
      </c>
      <c r="M2">
        <f>Data!U52</f>
        <v>0.74285714285714288</v>
      </c>
      <c r="N2">
        <f>Data!V52</f>
        <v>0.74285714285714288</v>
      </c>
      <c r="O2">
        <f>Data!W52</f>
        <v>0.74285714285714288</v>
      </c>
      <c r="P2">
        <f>Data!X52</f>
        <v>0.74285714285714288</v>
      </c>
      <c r="Q2">
        <f>Data!Y52</f>
        <v>0.74285714285714288</v>
      </c>
      <c r="R2">
        <f>Data!Z52</f>
        <v>0.74285714285714288</v>
      </c>
      <c r="S2">
        <f>Data!AA52</f>
        <v>0.74285714285714288</v>
      </c>
      <c r="T2">
        <f>Data!AB52</f>
        <v>0.74285714285714288</v>
      </c>
      <c r="U2">
        <f>Data!AC52</f>
        <v>0.74285714285714288</v>
      </c>
      <c r="V2">
        <f>Data!AD52</f>
        <v>0.74285714285714288</v>
      </c>
      <c r="W2">
        <f>Data!AE52</f>
        <v>0.74285714285714288</v>
      </c>
      <c r="X2">
        <f>Data!AF52</f>
        <v>0.74285714285714288</v>
      </c>
      <c r="Y2">
        <f>Data!AG52</f>
        <v>0.74285714285714288</v>
      </c>
      <c r="Z2">
        <f>Data!AH52</f>
        <v>0.74285714285714288</v>
      </c>
      <c r="AA2">
        <f>Data!AI52</f>
        <v>0.74285714285714288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0.25714285714285712</v>
      </c>
      <c r="C5">
        <f>Data!K55</f>
        <v>0.25714285714285712</v>
      </c>
      <c r="D5">
        <f>Data!L55</f>
        <v>0.25714285714285712</v>
      </c>
      <c r="E5">
        <f>Data!M55</f>
        <v>0.25714285714285712</v>
      </c>
      <c r="F5">
        <f>Data!N55</f>
        <v>0.25714285714285712</v>
      </c>
      <c r="G5">
        <f>Data!O55</f>
        <v>0.25714285714285712</v>
      </c>
      <c r="H5">
        <f>Data!P55</f>
        <v>0.25714285714285712</v>
      </c>
      <c r="I5">
        <f>Data!Q55</f>
        <v>0.25714285714285712</v>
      </c>
      <c r="J5">
        <f>Data!R55</f>
        <v>0.25714285714285712</v>
      </c>
      <c r="K5">
        <f>Data!S55</f>
        <v>0.25714285714285712</v>
      </c>
      <c r="L5">
        <f>Data!T55</f>
        <v>0.25714285714285712</v>
      </c>
      <c r="M5">
        <f>Data!U55</f>
        <v>0.25714285714285712</v>
      </c>
      <c r="N5">
        <f>Data!V55</f>
        <v>0.25714285714285712</v>
      </c>
      <c r="O5">
        <f>Data!W55</f>
        <v>0.25714285714285712</v>
      </c>
      <c r="P5">
        <f>Data!X55</f>
        <v>0.25714285714285712</v>
      </c>
      <c r="Q5">
        <f>Data!Y55</f>
        <v>0.25714285714285712</v>
      </c>
      <c r="R5">
        <f>Data!Z55</f>
        <v>0.25714285714285712</v>
      </c>
      <c r="S5">
        <f>Data!AA55</f>
        <v>0.25714285714285712</v>
      </c>
      <c r="T5">
        <f>Data!AB55</f>
        <v>0.25714285714285712</v>
      </c>
      <c r="U5">
        <f>Data!AC55</f>
        <v>0.25714285714285712</v>
      </c>
      <c r="V5">
        <f>Data!AD55</f>
        <v>0.25714285714285712</v>
      </c>
      <c r="W5">
        <f>Data!AE55</f>
        <v>0.25714285714285712</v>
      </c>
      <c r="X5">
        <f>Data!AF55</f>
        <v>0.25714285714285712</v>
      </c>
      <c r="Y5">
        <f>Data!AG55</f>
        <v>0.25714285714285712</v>
      </c>
      <c r="Z5">
        <f>Data!AH55</f>
        <v>0.25714285714285712</v>
      </c>
      <c r="AA5">
        <f>Data!AI55</f>
        <v>0.25714285714285712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2026-09-04T21:32:49Z</dcterms:modified>
</cp:coreProperties>
</file>