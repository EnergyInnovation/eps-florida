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FL\trans\BCDTRtSY\"/>
    </mc:Choice>
  </mc:AlternateContent>
  <xr:revisionPtr revIDLastSave="0" documentId="8_{532A4181-1D33-44F0-9CC0-C1BA9426B163}"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<sst xmlns="http://schemas.openxmlformats.org/spreadsheetml/2006/main" count="6428" uniqueCount="3038">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</sst>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2894</v>
      </c>
      <c r="C1" s="77">
        <v>46248</v>
      </c>
      <c r="H1" t="s">
        <v>2981</v>
      </c>
      <c r="I1" t="s">
        <v>2982</v>
      </c>
    </row>
    <row r="2" spans="1:9">
      <c r="B2" t="str">
        <f>VLOOKUP(B1,H2:I52,2)</f>
        <v>FL</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Florida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1.0053812701044362</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1.0121877344884354</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1.0159187878711811</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1.0192457692276804</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1.0218372575523031</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1.0324123270432697</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1.0431592737476891</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1.0524912642070701</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1.0624259088670855</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1.0714793516965495</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1.0812438001985565</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1.0914569355110155</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1.1017298769775978</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1.1113624452170743</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1.1212031331996897</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1.1307037960885751</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1.1400646263291745</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1.1490470232284549</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1.1582672286931084</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1.167232989940864</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1.1758856193670706</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1.1836319383692016</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1.1914929986140868</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1.1990605264936243</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1.2070546996568445</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1.0171813091985757</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1.0285569992977774</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1.036465146991975</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1.0431585710522018</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1.0484475182856094</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1.0609058126473023</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1.0729714912534967</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1.085555578941676</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1.0976938427081462</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1.1101933201711187</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1.1219129399093903</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1.1337889999610351</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1.1451595592998689</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1.1565211800127906</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1.1678399944913278</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1.1789508532906312</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1.1900250263015826</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1.2007487287185206</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1.2113489491013878</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1.221831055475971</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1.2318875800438971</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1.2418150747466687</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1.2513098864277794</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1.2605946732769238</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1.26978525064109</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1.0305891643619722</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1.0485778240726895</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1.0557929685601517</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1.067818822709697</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1.0839625059784461</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1.1083410818850308</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1.1373630610424188</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1.1686018466078523</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1.2025758016242487</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1.2395419286664242</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1.2696600466076415</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1.3001385431363768</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1.3306362540413121</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1.3603559463760075</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1.3908184696130053</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1.4207841974205886</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1.4522104408067251</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1.4853888265192139</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1.5187920193084239</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1.5526558919190299</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1.5856951773458812</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1.6168093145696825</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1.6483938462762988</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1.6790265046450781</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1.7104747614676499</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1.0629259520891738</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1.1094309619216014</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1.1443909062324533</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1.1745223867692558</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1.2000208929389662</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1.231411352035519</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1.2608946113069328</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1.2915310738423749</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1.3172689138132407</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1.3431789637300351</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1.36542017815156</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1.3887181766468681</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1.4108016574401769</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1.4301451208400364</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1.4499655311697519</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1.4690036896834198</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1.4881697756782717</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1.5057299391670445</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1.5242627922387364</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1.5436128693011208</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1.5612308917331597</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1.5797378100520898</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1.5956985406145212</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1.6112284893325139</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1.626442418354844</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1.001204525590041</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0.99534165721458268</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0.9835450440081619</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0.97420093023667831</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0.96715393575825137</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0.96766474998292751</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0.97038897574205651</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0.97422210165030387</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0.97923797361701981</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0.98552401825072977</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0.98867331182558871</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0.99176901247804594</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0.99459979264141629</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0.99726186761550661</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0.99992888991705808</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1.0022153104134102</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1.0048641179660245</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1.0077448253241328</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1.0105405077461349</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1.0132152232037659</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1.0152817600652584</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1.0165264639781479</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1.0175093640268515</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1.0179606839787347</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1.0186143547613331</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1.0051458071677184</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1.01248407668729</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1.0168894979273371</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1.0210900794997604</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1.0242656345873793</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1.0361148870834513</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1.0480423620194723</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1.0584325915071084</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1.0691933525519346</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1.0790221270883635</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1.0896864183118602</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1.1008326101492396</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1.1119632543170304</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1.1223357760374864</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1.1329590041193913</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1.1435667157163982</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1.1538950567936774</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1.1639748071996945</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1.1744328603491849</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1.1847529969507609</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1.1945576748295916</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1.2035287906209109</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1.2124283074052553</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1.2211347201103084</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1.2302906584591795</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0.99535073487972148</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0.99616789689908092</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0.99662067642770324</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0.99824591762202808</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1.0046487466558516</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1.018078037781381</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1.0334021603856822</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1.0474983997431109</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1.0636739851109014</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1.0807036739770861</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1.0982197811155907</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1.1172148931242032</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1.1376914689019952</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1.1587459086898906</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1.1805497339172977</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1.2020814351282072</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1.2231355360020573</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1.2415059974456972</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1.2597146881436303</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1.2796138655591844</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1.3002167292960964</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1.3217885509950886</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1.3420556616904205</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1.3634059872394297</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1.3840344200558428</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1.0099840759933125</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1.0241956245873003</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1.0375343733431786</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1.0482736021413732</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1.0613777707531491</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1.0789665648642637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1.0976116277184433</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1.1141524850824482</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1.1320989875298215</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1.1500305016362971</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1.1672405577194527</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1.1838172158406233</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1.1994049200184211</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1.2144541417791761</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1.2297652999823345</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1.2455050744462512</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1.2607424732535113</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1.2749162929501598</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1.2895049945197499</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1.3062958573283223</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1.3234290948058676</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1.3405563475375819</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1.3552997202317896</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1.3700141429416803</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1.3841171120430336</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1.0260418977079353</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1.0443017576559599</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1.0560958724538889</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1.0715736013595725</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1.0900151762202939</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1.1173003422086754</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1.1480293344438848</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1.1805975124824328</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1.215359675592685</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1.2524819629560777</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1.2853037209906311</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1.3186702700342101</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1.3523452453678133</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1.3857725785363646</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1.4200127134692726</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1.4544243447525955</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1.4901368781211815</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1.5273627930283324</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1.5650569387543918</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1.6033825594139086</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1.641454286202136</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1.6784976432425058</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1.71619516958302</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1.7535557173598015</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1.7918449202976898</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0.97652061394650236</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1.0072233215867272</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0.98580672242806633</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0.97727645898914484</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0.98303610613466763</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0.96509690644394774</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0.97641594579294944</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0.98791530667763461</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0.99232528259543717</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1.0027708413646659</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1.0123352387331312</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1.0233503814908078</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1.0309192847712789</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1.0401332856774352</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1.0482775377501234</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1.0549458472102133</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1.059261524716415</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1.064207721570799</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1.0718341438183105</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1.0787754649329897</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1.0885195813006276</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1.102442792089916</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1.113449935313175</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1.1177510277484193</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1.1227583392053586</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0.99138053968029705</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1.0097360749263391</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1.0300884112784736</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1.0470563334119098</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1.064923970681678</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1.0903524769437629</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1.1180860106572361</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1.1463783583449254</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1.1756737030889579</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1.2062874998765674</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1.2329863991362662</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1.2563779840985558</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1.2799273382160721</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1.3023766125118807</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1.3250609817630654</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1.3481648158042776</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1.3726073731815356</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1.3967723498695956</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1.420951603225997</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1.4468257943929299</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1.4730754719561232</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1.4997438893611117</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1.5257320770254859</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1.5515540668735965</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1.579235356617398</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1.0053812701044362</v>
      </c>
      <c r="E2">
        <f>'BCDTRtSY-state-adjusted'!E5</f>
        <v>1.0121877344884354</v>
      </c>
      <c r="F2">
        <f>'BCDTRtSY-state-adjusted'!F5</f>
        <v>1.0159187878711811</v>
      </c>
      <c r="G2">
        <f>'BCDTRtSY-state-adjusted'!G5</f>
        <v>1.0192457692276804</v>
      </c>
      <c r="H2">
        <f>'BCDTRtSY-state-adjusted'!H5</f>
        <v>1.0218372575523031</v>
      </c>
      <c r="I2">
        <f>'BCDTRtSY-state-adjusted'!I5</f>
        <v>1.0324123270432697</v>
      </c>
      <c r="J2">
        <f>'BCDTRtSY-state-adjusted'!J5</f>
        <v>1.0431592737476891</v>
      </c>
      <c r="K2">
        <f>'BCDTRtSY-state-adjusted'!K5</f>
        <v>1.0524912642070701</v>
      </c>
      <c r="L2">
        <f>'BCDTRtSY-state-adjusted'!L5</f>
        <v>1.0624259088670855</v>
      </c>
      <c r="M2">
        <f>'BCDTRtSY-state-adjusted'!M5</f>
        <v>1.0714793516965495</v>
      </c>
      <c r="N2">
        <f>'BCDTRtSY-state-adjusted'!N5</f>
        <v>1.0812438001985565</v>
      </c>
      <c r="O2">
        <f>'BCDTRtSY-state-adjusted'!O5</f>
        <v>1.0914569355110155</v>
      </c>
      <c r="P2">
        <f>'BCDTRtSY-state-adjusted'!P5</f>
        <v>1.1017298769775978</v>
      </c>
      <c r="Q2">
        <f>'BCDTRtSY-state-adjusted'!Q5</f>
        <v>1.1113624452170743</v>
      </c>
      <c r="R2">
        <f>'BCDTRtSY-state-adjusted'!R5</f>
        <v>1.1212031331996897</v>
      </c>
      <c r="S2">
        <f>'BCDTRtSY-state-adjusted'!S5</f>
        <v>1.1307037960885751</v>
      </c>
      <c r="T2">
        <f>'BCDTRtSY-state-adjusted'!T5</f>
        <v>1.1400646263291745</v>
      </c>
      <c r="U2">
        <f>'BCDTRtSY-state-adjusted'!U5</f>
        <v>1.1490470232284549</v>
      </c>
      <c r="V2">
        <f>'BCDTRtSY-state-adjusted'!V5</f>
        <v>1.1582672286931084</v>
      </c>
      <c r="W2">
        <f>'BCDTRtSY-state-adjusted'!W5</f>
        <v>1.167232989940864</v>
      </c>
      <c r="X2">
        <f>'BCDTRtSY-state-adjusted'!X5</f>
        <v>1.1758856193670706</v>
      </c>
      <c r="Y2">
        <f>'BCDTRtSY-state-adjusted'!Y5</f>
        <v>1.1836319383692016</v>
      </c>
      <c r="Z2">
        <f>'BCDTRtSY-state-adjusted'!Z5</f>
        <v>1.1914929986140868</v>
      </c>
      <c r="AA2">
        <f>'BCDTRtSY-state-adjusted'!AA5</f>
        <v>1.1990605264936243</v>
      </c>
      <c r="AB2">
        <f>'BCDTRtSY-state-adjusted'!AB5</f>
        <v>1.2070546996568445</v>
      </c>
    </row>
    <row r="3" spans="1:28">
      <c r="A3" t="s">
        <v>118</v>
      </c>
      <c r="B3">
        <f>'BCDTRtSY-state-adjusted'!B6</f>
        <v>1</v>
      </c>
      <c r="C3">
        <f>'BCDTRtSY-state-adjusted'!C6</f>
        <v>1</v>
      </c>
      <c r="D3">
        <f>'BCDTRtSY-state-adjusted'!D6</f>
        <v>1.0171813091985757</v>
      </c>
      <c r="E3">
        <f>'BCDTRtSY-state-adjusted'!E6</f>
        <v>1.0285569992977774</v>
      </c>
      <c r="F3">
        <f>'BCDTRtSY-state-adjusted'!F6</f>
        <v>1.036465146991975</v>
      </c>
      <c r="G3">
        <f>'BCDTRtSY-state-adjusted'!G6</f>
        <v>1.0431585710522018</v>
      </c>
      <c r="H3">
        <f>'BCDTRtSY-state-adjusted'!H6</f>
        <v>1.0484475182856094</v>
      </c>
      <c r="I3">
        <f>'BCDTRtSY-state-adjusted'!I6</f>
        <v>1.0609058126473023</v>
      </c>
      <c r="J3">
        <f>'BCDTRtSY-state-adjusted'!J6</f>
        <v>1.0729714912534967</v>
      </c>
      <c r="K3">
        <f>'BCDTRtSY-state-adjusted'!K6</f>
        <v>1.085555578941676</v>
      </c>
      <c r="L3">
        <f>'BCDTRtSY-state-adjusted'!L6</f>
        <v>1.0976938427081462</v>
      </c>
      <c r="M3">
        <f>'BCDTRtSY-state-adjusted'!M6</f>
        <v>1.1101933201711187</v>
      </c>
      <c r="N3">
        <f>'BCDTRtSY-state-adjusted'!N6</f>
        <v>1.1219129399093903</v>
      </c>
      <c r="O3">
        <f>'BCDTRtSY-state-adjusted'!O6</f>
        <v>1.1337889999610351</v>
      </c>
      <c r="P3">
        <f>'BCDTRtSY-state-adjusted'!P6</f>
        <v>1.1451595592998689</v>
      </c>
      <c r="Q3">
        <f>'BCDTRtSY-state-adjusted'!Q6</f>
        <v>1.1565211800127906</v>
      </c>
      <c r="R3">
        <f>'BCDTRtSY-state-adjusted'!R6</f>
        <v>1.1678399944913278</v>
      </c>
      <c r="S3">
        <f>'BCDTRtSY-state-adjusted'!S6</f>
        <v>1.1789508532906312</v>
      </c>
      <c r="T3">
        <f>'BCDTRtSY-state-adjusted'!T6</f>
        <v>1.1900250263015826</v>
      </c>
      <c r="U3">
        <f>'BCDTRtSY-state-adjusted'!U6</f>
        <v>1.2007487287185206</v>
      </c>
      <c r="V3">
        <f>'BCDTRtSY-state-adjusted'!V6</f>
        <v>1.2113489491013878</v>
      </c>
      <c r="W3">
        <f>'BCDTRtSY-state-adjusted'!W6</f>
        <v>1.221831055475971</v>
      </c>
      <c r="X3">
        <f>'BCDTRtSY-state-adjusted'!X6</f>
        <v>1.2318875800438971</v>
      </c>
      <c r="Y3">
        <f>'BCDTRtSY-state-adjusted'!Y6</f>
        <v>1.2418150747466687</v>
      </c>
      <c r="Z3">
        <f>'BCDTRtSY-state-adjusted'!Z6</f>
        <v>1.2513098864277794</v>
      </c>
      <c r="AA3">
        <f>'BCDTRtSY-state-adjusted'!AA6</f>
        <v>1.2605946732769238</v>
      </c>
      <c r="AB3">
        <f>'BCDTRtSY-state-adjusted'!AB6</f>
        <v>1.26978525064109</v>
      </c>
    </row>
    <row r="4" spans="1:28">
      <c r="A4" t="s">
        <v>116</v>
      </c>
      <c r="B4">
        <f>'BCDTRtSY-state-adjusted'!B7</f>
        <v>1</v>
      </c>
      <c r="C4">
        <f>'BCDTRtSY-state-adjusted'!C7</f>
        <v>1</v>
      </c>
      <c r="D4">
        <f>'BCDTRtSY-state-adjusted'!D7</f>
        <v>1.0305891643619722</v>
      </c>
      <c r="E4">
        <f>'BCDTRtSY-state-adjusted'!E7</f>
        <v>1.0485778240726895</v>
      </c>
      <c r="F4">
        <f>'BCDTRtSY-state-adjusted'!F7</f>
        <v>1.0557929685601517</v>
      </c>
      <c r="G4">
        <f>'BCDTRtSY-state-adjusted'!G7</f>
        <v>1.067818822709697</v>
      </c>
      <c r="H4">
        <f>'BCDTRtSY-state-adjusted'!H7</f>
        <v>1.0839625059784461</v>
      </c>
      <c r="I4">
        <f>'BCDTRtSY-state-adjusted'!I7</f>
        <v>1.1083410818850308</v>
      </c>
      <c r="J4">
        <f>'BCDTRtSY-state-adjusted'!J7</f>
        <v>1.1373630610424188</v>
      </c>
      <c r="K4">
        <f>'BCDTRtSY-state-adjusted'!K7</f>
        <v>1.1686018466078523</v>
      </c>
      <c r="L4">
        <f>'BCDTRtSY-state-adjusted'!L7</f>
        <v>1.2025758016242487</v>
      </c>
      <c r="M4">
        <f>'BCDTRtSY-state-adjusted'!M7</f>
        <v>1.2395419286664242</v>
      </c>
      <c r="N4">
        <f>'BCDTRtSY-state-adjusted'!N7</f>
        <v>1.2696600466076415</v>
      </c>
      <c r="O4">
        <f>'BCDTRtSY-state-adjusted'!O7</f>
        <v>1.3001385431363768</v>
      </c>
      <c r="P4">
        <f>'BCDTRtSY-state-adjusted'!P7</f>
        <v>1.3306362540413121</v>
      </c>
      <c r="Q4">
        <f>'BCDTRtSY-state-adjusted'!Q7</f>
        <v>1.3603559463760075</v>
      </c>
      <c r="R4">
        <f>'BCDTRtSY-state-adjusted'!R7</f>
        <v>1.3908184696130053</v>
      </c>
      <c r="S4">
        <f>'BCDTRtSY-state-adjusted'!S7</f>
        <v>1.4207841974205886</v>
      </c>
      <c r="T4">
        <f>'BCDTRtSY-state-adjusted'!T7</f>
        <v>1.4522104408067251</v>
      </c>
      <c r="U4">
        <f>'BCDTRtSY-state-adjusted'!U7</f>
        <v>1.4853888265192139</v>
      </c>
      <c r="V4">
        <f>'BCDTRtSY-state-adjusted'!V7</f>
        <v>1.5187920193084239</v>
      </c>
      <c r="W4">
        <f>'BCDTRtSY-state-adjusted'!W7</f>
        <v>1.5526558919190299</v>
      </c>
      <c r="X4">
        <f>'BCDTRtSY-state-adjusted'!X7</f>
        <v>1.5856951773458812</v>
      </c>
      <c r="Y4">
        <f>'BCDTRtSY-state-adjusted'!Y7</f>
        <v>1.6168093145696825</v>
      </c>
      <c r="Z4">
        <f>'BCDTRtSY-state-adjusted'!Z7</f>
        <v>1.6483938462762988</v>
      </c>
      <c r="AA4">
        <f>'BCDTRtSY-state-adjusted'!AA7</f>
        <v>1.6790265046450781</v>
      </c>
      <c r="AB4">
        <f>'BCDTRtSY-state-adjusted'!AB7</f>
        <v>1.7104747614676499</v>
      </c>
    </row>
    <row r="5" spans="1:28">
      <c r="A5" t="s">
        <v>121</v>
      </c>
      <c r="B5">
        <f>'BCDTRtSY-state-adjusted'!B8</f>
        <v>1</v>
      </c>
      <c r="C5">
        <f>'BCDTRtSY-state-adjusted'!C8</f>
        <v>1</v>
      </c>
      <c r="D5">
        <f>'BCDTRtSY-state-adjusted'!D8</f>
        <v>1.0629259520891738</v>
      </c>
      <c r="E5">
        <f>'BCDTRtSY-state-adjusted'!E8</f>
        <v>1.1094309619216014</v>
      </c>
      <c r="F5">
        <f>'BCDTRtSY-state-adjusted'!F8</f>
        <v>1.1443909062324533</v>
      </c>
      <c r="G5">
        <f>'BCDTRtSY-state-adjusted'!G8</f>
        <v>1.1745223867692558</v>
      </c>
      <c r="H5">
        <f>'BCDTRtSY-state-adjusted'!H8</f>
        <v>1.2000208929389662</v>
      </c>
      <c r="I5">
        <f>'BCDTRtSY-state-adjusted'!I8</f>
        <v>1.231411352035519</v>
      </c>
      <c r="J5">
        <f>'BCDTRtSY-state-adjusted'!J8</f>
        <v>1.2608946113069328</v>
      </c>
      <c r="K5">
        <f>'BCDTRtSY-state-adjusted'!K8</f>
        <v>1.2915310738423749</v>
      </c>
      <c r="L5">
        <f>'BCDTRtSY-state-adjusted'!L8</f>
        <v>1.3172689138132407</v>
      </c>
      <c r="M5">
        <f>'BCDTRtSY-state-adjusted'!M8</f>
        <v>1.3431789637300351</v>
      </c>
      <c r="N5">
        <f>'BCDTRtSY-state-adjusted'!N8</f>
        <v>1.36542017815156</v>
      </c>
      <c r="O5">
        <f>'BCDTRtSY-state-adjusted'!O8</f>
        <v>1.3887181766468681</v>
      </c>
      <c r="P5">
        <f>'BCDTRtSY-state-adjusted'!P8</f>
        <v>1.4108016574401769</v>
      </c>
      <c r="Q5">
        <f>'BCDTRtSY-state-adjusted'!Q8</f>
        <v>1.4301451208400364</v>
      </c>
      <c r="R5">
        <f>'BCDTRtSY-state-adjusted'!R8</f>
        <v>1.4499655311697519</v>
      </c>
      <c r="S5">
        <f>'BCDTRtSY-state-adjusted'!S8</f>
        <v>1.4690036896834198</v>
      </c>
      <c r="T5">
        <f>'BCDTRtSY-state-adjusted'!T8</f>
        <v>1.4881697756782717</v>
      </c>
      <c r="U5">
        <f>'BCDTRtSY-state-adjusted'!U8</f>
        <v>1.5057299391670445</v>
      </c>
      <c r="V5">
        <f>'BCDTRtSY-state-adjusted'!V8</f>
        <v>1.5242627922387364</v>
      </c>
      <c r="W5">
        <f>'BCDTRtSY-state-adjusted'!W8</f>
        <v>1.5436128693011208</v>
      </c>
      <c r="X5">
        <f>'BCDTRtSY-state-adjusted'!X8</f>
        <v>1.5612308917331597</v>
      </c>
      <c r="Y5">
        <f>'BCDTRtSY-state-adjusted'!Y8</f>
        <v>1.5797378100520898</v>
      </c>
      <c r="Z5">
        <f>'BCDTRtSY-state-adjusted'!Z8</f>
        <v>1.5956985406145212</v>
      </c>
      <c r="AA5">
        <f>'BCDTRtSY-state-adjusted'!AA8</f>
        <v>1.6112284893325139</v>
      </c>
      <c r="AB5">
        <f>'BCDTRtSY-state-adjusted'!AB8</f>
        <v>1.626442418354844</v>
      </c>
    </row>
    <row r="6" spans="1:28">
      <c r="A6" t="s">
        <v>122</v>
      </c>
      <c r="B6">
        <f>'BCDTRtSY-state-adjusted'!B9</f>
        <v>1</v>
      </c>
      <c r="C6">
        <f>'BCDTRtSY-state-adjusted'!C9</f>
        <v>1</v>
      </c>
      <c r="D6">
        <f>'BCDTRtSY-state-adjusted'!D9</f>
        <v>1.001204525590041</v>
      </c>
      <c r="E6">
        <f>'BCDTRtSY-state-adjusted'!E9</f>
        <v>0.99534165721458268</v>
      </c>
      <c r="F6">
        <f>'BCDTRtSY-state-adjusted'!F9</f>
        <v>0.9835450440081619</v>
      </c>
      <c r="G6">
        <f>'BCDTRtSY-state-adjusted'!G9</f>
        <v>0.97420093023667831</v>
      </c>
      <c r="H6">
        <f>'BCDTRtSY-state-adjusted'!H9</f>
        <v>0.96715393575825137</v>
      </c>
      <c r="I6">
        <f>'BCDTRtSY-state-adjusted'!I9</f>
        <v>0.96766474998292751</v>
      </c>
      <c r="J6">
        <f>'BCDTRtSY-state-adjusted'!J9</f>
        <v>0.97038897574205651</v>
      </c>
      <c r="K6">
        <f>'BCDTRtSY-state-adjusted'!K9</f>
        <v>0.97422210165030387</v>
      </c>
      <c r="L6">
        <f>'BCDTRtSY-state-adjusted'!L9</f>
        <v>0.97923797361701981</v>
      </c>
      <c r="M6">
        <f>'BCDTRtSY-state-adjusted'!M9</f>
        <v>0.98552401825072977</v>
      </c>
      <c r="N6">
        <f>'BCDTRtSY-state-adjusted'!N9</f>
        <v>0.98867331182558871</v>
      </c>
      <c r="O6">
        <f>'BCDTRtSY-state-adjusted'!O9</f>
        <v>0.99176901247804594</v>
      </c>
      <c r="P6">
        <f>'BCDTRtSY-state-adjusted'!P9</f>
        <v>0.99459979264141629</v>
      </c>
      <c r="Q6">
        <f>'BCDTRtSY-state-adjusted'!Q9</f>
        <v>0.99726186761550661</v>
      </c>
      <c r="R6">
        <f>'BCDTRtSY-state-adjusted'!R9</f>
        <v>0.99992888991705808</v>
      </c>
      <c r="S6">
        <f>'BCDTRtSY-state-adjusted'!S9</f>
        <v>1.0022153104134102</v>
      </c>
      <c r="T6">
        <f>'BCDTRtSY-state-adjusted'!T9</f>
        <v>1.0048641179660245</v>
      </c>
      <c r="U6">
        <f>'BCDTRtSY-state-adjusted'!U9</f>
        <v>1.0077448253241328</v>
      </c>
      <c r="V6">
        <f>'BCDTRtSY-state-adjusted'!V9</f>
        <v>1.0105405077461349</v>
      </c>
      <c r="W6">
        <f>'BCDTRtSY-state-adjusted'!W9</f>
        <v>1.0132152232037659</v>
      </c>
      <c r="X6">
        <f>'BCDTRtSY-state-adjusted'!X9</f>
        <v>1.0152817600652584</v>
      </c>
      <c r="Y6">
        <f>'BCDTRtSY-state-adjusted'!Y9</f>
        <v>1.0165264639781479</v>
      </c>
      <c r="Z6">
        <f>'BCDTRtSY-state-adjusted'!Z9</f>
        <v>1.0175093640268515</v>
      </c>
      <c r="AA6">
        <f>'BCDTRtSY-state-adjusted'!AA9</f>
        <v>1.0179606839787347</v>
      </c>
      <c r="AB6">
        <f>'BCDTRtSY-state-adjusted'!AB9</f>
        <v>1.0186143547613331</v>
      </c>
    </row>
    <row r="7" spans="1:28">
      <c r="A7" t="s">
        <v>123</v>
      </c>
      <c r="B7">
        <f>'BCDTRtSY-state-adjusted'!B10</f>
        <v>1</v>
      </c>
      <c r="C7">
        <f>'BCDTRtSY-state-adjusted'!C10</f>
        <v>1</v>
      </c>
      <c r="D7">
        <f>'BCDTRtSY-state-adjusted'!D10</f>
        <v>1.0051458071677184</v>
      </c>
      <c r="E7">
        <f>'BCDTRtSY-state-adjusted'!E10</f>
        <v>1.01248407668729</v>
      </c>
      <c r="F7">
        <f>'BCDTRtSY-state-adjusted'!F10</f>
        <v>1.0168894979273371</v>
      </c>
      <c r="G7">
        <f>'BCDTRtSY-state-adjusted'!G10</f>
        <v>1.0210900794997604</v>
      </c>
      <c r="H7">
        <f>'BCDTRtSY-state-adjusted'!H10</f>
        <v>1.0242656345873793</v>
      </c>
      <c r="I7">
        <f>'BCDTRtSY-state-adjusted'!I10</f>
        <v>1.0361148870834513</v>
      </c>
      <c r="J7">
        <f>'BCDTRtSY-state-adjusted'!J10</f>
        <v>1.0480423620194723</v>
      </c>
      <c r="K7">
        <f>'BCDTRtSY-state-adjusted'!K10</f>
        <v>1.0584325915071084</v>
      </c>
      <c r="L7">
        <f>'BCDTRtSY-state-adjusted'!L10</f>
        <v>1.0691933525519346</v>
      </c>
      <c r="M7">
        <f>'BCDTRtSY-state-adjusted'!M10</f>
        <v>1.0790221270883635</v>
      </c>
      <c r="N7">
        <f>'BCDTRtSY-state-adjusted'!N10</f>
        <v>1.0896864183118602</v>
      </c>
      <c r="O7">
        <f>'BCDTRtSY-state-adjusted'!O10</f>
        <v>1.1008326101492396</v>
      </c>
      <c r="P7">
        <f>'BCDTRtSY-state-adjusted'!P10</f>
        <v>1.1119632543170304</v>
      </c>
      <c r="Q7">
        <f>'BCDTRtSY-state-adjusted'!Q10</f>
        <v>1.1223357760374864</v>
      </c>
      <c r="R7">
        <f>'BCDTRtSY-state-adjusted'!R10</f>
        <v>1.1329590041193913</v>
      </c>
      <c r="S7">
        <f>'BCDTRtSY-state-adjusted'!S10</f>
        <v>1.1435667157163982</v>
      </c>
      <c r="T7">
        <f>'BCDTRtSY-state-adjusted'!T10</f>
        <v>1.1538950567936774</v>
      </c>
      <c r="U7">
        <f>'BCDTRtSY-state-adjusted'!U10</f>
        <v>1.1639748071996945</v>
      </c>
      <c r="V7">
        <f>'BCDTRtSY-state-adjusted'!V10</f>
        <v>1.1744328603491849</v>
      </c>
      <c r="W7">
        <f>'BCDTRtSY-state-adjusted'!W10</f>
        <v>1.1847529969507609</v>
      </c>
      <c r="X7">
        <f>'BCDTRtSY-state-adjusted'!X10</f>
        <v>1.1945576748295916</v>
      </c>
      <c r="Y7">
        <f>'BCDTRtSY-state-adjusted'!Y10</f>
        <v>1.2035287906209109</v>
      </c>
      <c r="Z7">
        <f>'BCDTRtSY-state-adjusted'!Z10</f>
        <v>1.2124283074052553</v>
      </c>
      <c r="AA7">
        <f>'BCDTRtSY-state-adjusted'!AA10</f>
        <v>1.2211347201103084</v>
      </c>
      <c r="AB7">
        <f>'BCDTRtSY-state-adjusted'!AB10</f>
        <v>1.2302906584591795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0.99535073487972148</v>
      </c>
      <c r="E2">
        <f>'BCDTRtSY-state-adjusted'!E13</f>
        <v>0.99616789689908092</v>
      </c>
      <c r="F2">
        <f>'BCDTRtSY-state-adjusted'!F13</f>
        <v>0.99662067642770324</v>
      </c>
      <c r="G2">
        <f>'BCDTRtSY-state-adjusted'!G13</f>
        <v>0.99824591762202808</v>
      </c>
      <c r="H2">
        <f>'BCDTRtSY-state-adjusted'!H13</f>
        <v>1.0046487466558516</v>
      </c>
      <c r="I2">
        <f>'BCDTRtSY-state-adjusted'!I13</f>
        <v>1.018078037781381</v>
      </c>
      <c r="J2">
        <f>'BCDTRtSY-state-adjusted'!J13</f>
        <v>1.0334021603856822</v>
      </c>
      <c r="K2">
        <f>'BCDTRtSY-state-adjusted'!K13</f>
        <v>1.0474983997431109</v>
      </c>
      <c r="L2">
        <f>'BCDTRtSY-state-adjusted'!L13</f>
        <v>1.0636739851109014</v>
      </c>
      <c r="M2">
        <f>'BCDTRtSY-state-adjusted'!M13</f>
        <v>1.0807036739770861</v>
      </c>
      <c r="N2">
        <f>'BCDTRtSY-state-adjusted'!N13</f>
        <v>1.0982197811155907</v>
      </c>
      <c r="O2">
        <f>'BCDTRtSY-state-adjusted'!O13</f>
        <v>1.1172148931242032</v>
      </c>
      <c r="P2">
        <f>'BCDTRtSY-state-adjusted'!P13</f>
        <v>1.1376914689019952</v>
      </c>
      <c r="Q2">
        <f>'BCDTRtSY-state-adjusted'!Q13</f>
        <v>1.1587459086898906</v>
      </c>
      <c r="R2">
        <f>'BCDTRtSY-state-adjusted'!R13</f>
        <v>1.1805497339172977</v>
      </c>
      <c r="S2">
        <f>'BCDTRtSY-state-adjusted'!S13</f>
        <v>1.2020814351282072</v>
      </c>
      <c r="T2">
        <f>'BCDTRtSY-state-adjusted'!T13</f>
        <v>1.2231355360020573</v>
      </c>
      <c r="U2">
        <f>'BCDTRtSY-state-adjusted'!U13</f>
        <v>1.2415059974456972</v>
      </c>
      <c r="V2">
        <f>'BCDTRtSY-state-adjusted'!V13</f>
        <v>1.2597146881436303</v>
      </c>
      <c r="W2">
        <f>'BCDTRtSY-state-adjusted'!W13</f>
        <v>1.2796138655591844</v>
      </c>
      <c r="X2">
        <f>'BCDTRtSY-state-adjusted'!X13</f>
        <v>1.3002167292960964</v>
      </c>
      <c r="Y2">
        <f>'BCDTRtSY-state-adjusted'!Y13</f>
        <v>1.3217885509950886</v>
      </c>
      <c r="Z2">
        <f>'BCDTRtSY-state-adjusted'!Z13</f>
        <v>1.3420556616904205</v>
      </c>
      <c r="AA2">
        <f>'BCDTRtSY-state-adjusted'!AA13</f>
        <v>1.3634059872394297</v>
      </c>
      <c r="AB2">
        <f>'BCDTRtSY-state-adjusted'!AB13</f>
        <v>1.3840344200558428</v>
      </c>
    </row>
    <row r="3" spans="1:28">
      <c r="A3" t="s">
        <v>118</v>
      </c>
      <c r="B3">
        <f>'BCDTRtSY-state-adjusted'!B14</f>
        <v>1</v>
      </c>
      <c r="C3">
        <f>'BCDTRtSY-state-adjusted'!C14</f>
        <v>1</v>
      </c>
      <c r="D3">
        <f>'BCDTRtSY-state-adjusted'!D14</f>
        <v>1.0099840759933125</v>
      </c>
      <c r="E3">
        <f>'BCDTRtSY-state-adjusted'!E14</f>
        <v>1.0241956245873003</v>
      </c>
      <c r="F3">
        <f>'BCDTRtSY-state-adjusted'!F14</f>
        <v>1.0375343733431786</v>
      </c>
      <c r="G3">
        <f>'BCDTRtSY-state-adjusted'!G14</f>
        <v>1.0482736021413732</v>
      </c>
      <c r="H3">
        <f>'BCDTRtSY-state-adjusted'!H14</f>
        <v>1.0613777707531491</v>
      </c>
      <c r="I3">
        <f>'BCDTRtSY-state-adjusted'!I14</f>
        <v>1.0789665648642637</v>
      </c>
      <c r="J3">
        <f>'BCDTRtSY-state-adjusted'!J14</f>
        <v>1.0976116277184433</v>
      </c>
      <c r="K3">
        <f>'BCDTRtSY-state-adjusted'!K14</f>
        <v>1.1141524850824482</v>
      </c>
      <c r="L3">
        <f>'BCDTRtSY-state-adjusted'!L14</f>
        <v>1.1320989875298215</v>
      </c>
      <c r="M3">
        <f>'BCDTRtSY-state-adjusted'!M14</f>
        <v>1.1500305016362971</v>
      </c>
      <c r="N3">
        <f>'BCDTRtSY-state-adjusted'!N14</f>
        <v>1.1672405577194527</v>
      </c>
      <c r="O3">
        <f>'BCDTRtSY-state-adjusted'!O14</f>
        <v>1.1838172158406233</v>
      </c>
      <c r="P3">
        <f>'BCDTRtSY-state-adjusted'!P14</f>
        <v>1.1994049200184211</v>
      </c>
      <c r="Q3">
        <f>'BCDTRtSY-state-adjusted'!Q14</f>
        <v>1.2144541417791761</v>
      </c>
      <c r="R3">
        <f>'BCDTRtSY-state-adjusted'!R14</f>
        <v>1.2297652999823345</v>
      </c>
      <c r="S3">
        <f>'BCDTRtSY-state-adjusted'!S14</f>
        <v>1.2455050744462512</v>
      </c>
      <c r="T3">
        <f>'BCDTRtSY-state-adjusted'!T14</f>
        <v>1.2607424732535113</v>
      </c>
      <c r="U3">
        <f>'BCDTRtSY-state-adjusted'!U14</f>
        <v>1.2749162929501598</v>
      </c>
      <c r="V3">
        <f>'BCDTRtSY-state-adjusted'!V14</f>
        <v>1.2895049945197499</v>
      </c>
      <c r="W3">
        <f>'BCDTRtSY-state-adjusted'!W14</f>
        <v>1.3062958573283223</v>
      </c>
      <c r="X3">
        <f>'BCDTRtSY-state-adjusted'!X14</f>
        <v>1.3234290948058676</v>
      </c>
      <c r="Y3">
        <f>'BCDTRtSY-state-adjusted'!Y14</f>
        <v>1.3405563475375819</v>
      </c>
      <c r="Z3">
        <f>'BCDTRtSY-state-adjusted'!Z14</f>
        <v>1.3552997202317896</v>
      </c>
      <c r="AA3">
        <f>'BCDTRtSY-state-adjusted'!AA14</f>
        <v>1.3700141429416803</v>
      </c>
      <c r="AB3">
        <f>'BCDTRtSY-state-adjusted'!AB14</f>
        <v>1.3841171120430336</v>
      </c>
    </row>
    <row r="4" spans="1:28">
      <c r="A4" t="s">
        <v>116</v>
      </c>
      <c r="B4">
        <f>'BCDTRtSY-state-adjusted'!B15</f>
        <v>1</v>
      </c>
      <c r="C4">
        <f>'BCDTRtSY-state-adjusted'!C15</f>
        <v>1</v>
      </c>
      <c r="D4">
        <f>'BCDTRtSY-state-adjusted'!D15</f>
        <v>1.0260418977079353</v>
      </c>
      <c r="E4">
        <f>'BCDTRtSY-state-adjusted'!E15</f>
        <v>1.0443017576559599</v>
      </c>
      <c r="F4">
        <f>'BCDTRtSY-state-adjusted'!F15</f>
        <v>1.0560958724538889</v>
      </c>
      <c r="G4">
        <f>'BCDTRtSY-state-adjusted'!G15</f>
        <v>1.0715736013595725</v>
      </c>
      <c r="H4">
        <f>'BCDTRtSY-state-adjusted'!H15</f>
        <v>1.0900151762202939</v>
      </c>
      <c r="I4">
        <f>'BCDTRtSY-state-adjusted'!I15</f>
        <v>1.1173003422086754</v>
      </c>
      <c r="J4">
        <f>'BCDTRtSY-state-adjusted'!J15</f>
        <v>1.1480293344438848</v>
      </c>
      <c r="K4">
        <f>'BCDTRtSY-state-adjusted'!K15</f>
        <v>1.1805975124824328</v>
      </c>
      <c r="L4">
        <f>'BCDTRtSY-state-adjusted'!L15</f>
        <v>1.215359675592685</v>
      </c>
      <c r="M4">
        <f>'BCDTRtSY-state-adjusted'!M15</f>
        <v>1.2524819629560777</v>
      </c>
      <c r="N4">
        <f>'BCDTRtSY-state-adjusted'!N15</f>
        <v>1.2853037209906311</v>
      </c>
      <c r="O4">
        <f>'BCDTRtSY-state-adjusted'!O15</f>
        <v>1.3186702700342101</v>
      </c>
      <c r="P4">
        <f>'BCDTRtSY-state-adjusted'!P15</f>
        <v>1.3523452453678133</v>
      </c>
      <c r="Q4">
        <f>'BCDTRtSY-state-adjusted'!Q15</f>
        <v>1.3857725785363646</v>
      </c>
      <c r="R4">
        <f>'BCDTRtSY-state-adjusted'!R15</f>
        <v>1.4200127134692726</v>
      </c>
      <c r="S4">
        <f>'BCDTRtSY-state-adjusted'!S15</f>
        <v>1.4544243447525955</v>
      </c>
      <c r="T4">
        <f>'BCDTRtSY-state-adjusted'!T15</f>
        <v>1.4901368781211815</v>
      </c>
      <c r="U4">
        <f>'BCDTRtSY-state-adjusted'!U15</f>
        <v>1.5273627930283324</v>
      </c>
      <c r="V4">
        <f>'BCDTRtSY-state-adjusted'!V15</f>
        <v>1.5650569387543918</v>
      </c>
      <c r="W4">
        <f>'BCDTRtSY-state-adjusted'!W15</f>
        <v>1.6033825594139086</v>
      </c>
      <c r="X4">
        <f>'BCDTRtSY-state-adjusted'!X15</f>
        <v>1.641454286202136</v>
      </c>
      <c r="Y4">
        <f>'BCDTRtSY-state-adjusted'!Y15</f>
        <v>1.6784976432425058</v>
      </c>
      <c r="Z4">
        <f>'BCDTRtSY-state-adjusted'!Z15</f>
        <v>1.71619516958302</v>
      </c>
      <c r="AA4">
        <f>'BCDTRtSY-state-adjusted'!AA15</f>
        <v>1.7535557173598015</v>
      </c>
      <c r="AB4">
        <f>'BCDTRtSY-state-adjusted'!AB15</f>
        <v>1.7918449202976898</v>
      </c>
    </row>
    <row r="5" spans="1:28">
      <c r="A5" t="s">
        <v>121</v>
      </c>
      <c r="B5">
        <f>'BCDTRtSY-state-adjusted'!B16</f>
        <v>1</v>
      </c>
      <c r="C5">
        <f>'BCDTRtSY-state-adjusted'!C16</f>
        <v>1</v>
      </c>
      <c r="D5">
        <f>'BCDTRtSY-state-adjusted'!D16</f>
        <v>0.97652061394650236</v>
      </c>
      <c r="E5">
        <f>'BCDTRtSY-state-adjusted'!E16</f>
        <v>1.0072233215867272</v>
      </c>
      <c r="F5">
        <f>'BCDTRtSY-state-adjusted'!F16</f>
        <v>0.98580672242806633</v>
      </c>
      <c r="G5">
        <f>'BCDTRtSY-state-adjusted'!G16</f>
        <v>0.97727645898914484</v>
      </c>
      <c r="H5">
        <f>'BCDTRtSY-state-adjusted'!H16</f>
        <v>0.98303610613466763</v>
      </c>
      <c r="I5">
        <f>'BCDTRtSY-state-adjusted'!I16</f>
        <v>0.96509690644394774</v>
      </c>
      <c r="J5">
        <f>'BCDTRtSY-state-adjusted'!J16</f>
        <v>0.97641594579294944</v>
      </c>
      <c r="K5">
        <f>'BCDTRtSY-state-adjusted'!K16</f>
        <v>0.98791530667763461</v>
      </c>
      <c r="L5">
        <f>'BCDTRtSY-state-adjusted'!L16</f>
        <v>0.99232528259543717</v>
      </c>
      <c r="M5">
        <f>'BCDTRtSY-state-adjusted'!M16</f>
        <v>1.0027708413646659</v>
      </c>
      <c r="N5">
        <f>'BCDTRtSY-state-adjusted'!N16</f>
        <v>1.0123352387331312</v>
      </c>
      <c r="O5">
        <f>'BCDTRtSY-state-adjusted'!O16</f>
        <v>1.0233503814908078</v>
      </c>
      <c r="P5">
        <f>'BCDTRtSY-state-adjusted'!P16</f>
        <v>1.0309192847712789</v>
      </c>
      <c r="Q5">
        <f>'BCDTRtSY-state-adjusted'!Q16</f>
        <v>1.0401332856774352</v>
      </c>
      <c r="R5">
        <f>'BCDTRtSY-state-adjusted'!R16</f>
        <v>1.0482775377501234</v>
      </c>
      <c r="S5">
        <f>'BCDTRtSY-state-adjusted'!S16</f>
        <v>1.0549458472102133</v>
      </c>
      <c r="T5">
        <f>'BCDTRtSY-state-adjusted'!T16</f>
        <v>1.059261524716415</v>
      </c>
      <c r="U5">
        <f>'BCDTRtSY-state-adjusted'!U16</f>
        <v>1.064207721570799</v>
      </c>
      <c r="V5">
        <f>'BCDTRtSY-state-adjusted'!V16</f>
        <v>1.0718341438183105</v>
      </c>
      <c r="W5">
        <f>'BCDTRtSY-state-adjusted'!W16</f>
        <v>1.0787754649329897</v>
      </c>
      <c r="X5">
        <f>'BCDTRtSY-state-adjusted'!X16</f>
        <v>1.0885195813006276</v>
      </c>
      <c r="Y5">
        <f>'BCDTRtSY-state-adjusted'!Y16</f>
        <v>1.102442792089916</v>
      </c>
      <c r="Z5">
        <f>'BCDTRtSY-state-adjusted'!Z16</f>
        <v>1.113449935313175</v>
      </c>
      <c r="AA5">
        <f>'BCDTRtSY-state-adjusted'!AA16</f>
        <v>1.1177510277484193</v>
      </c>
      <c r="AB5">
        <f>'BCDTRtSY-state-adjusted'!AB16</f>
        <v>1.1227583392053586</v>
      </c>
    </row>
    <row r="6" spans="1:28">
      <c r="A6" t="s">
        <v>122</v>
      </c>
      <c r="B6">
        <f>'BCDTRtSY-state-adjusted'!B17</f>
        <v>1</v>
      </c>
      <c r="C6">
        <f>'BCDTRtSY-state-adjusted'!C17</f>
        <v>1</v>
      </c>
      <c r="D6">
        <f>'BCDTRtSY-state-adjusted'!D17</f>
        <v>0.99138053968029705</v>
      </c>
      <c r="E6">
        <f>'BCDTRtSY-state-adjusted'!E17</f>
        <v>1.0097360749263391</v>
      </c>
      <c r="F6">
        <f>'BCDTRtSY-state-adjusted'!F17</f>
        <v>1.0300884112784736</v>
      </c>
      <c r="G6">
        <f>'BCDTRtSY-state-adjusted'!G17</f>
        <v>1.0470563334119098</v>
      </c>
      <c r="H6">
        <f>'BCDTRtSY-state-adjusted'!H17</f>
        <v>1.064923970681678</v>
      </c>
      <c r="I6">
        <f>'BCDTRtSY-state-adjusted'!I17</f>
        <v>1.0903524769437629</v>
      </c>
      <c r="J6">
        <f>'BCDTRtSY-state-adjusted'!J17</f>
        <v>1.1180860106572361</v>
      </c>
      <c r="K6">
        <f>'BCDTRtSY-state-adjusted'!K17</f>
        <v>1.1463783583449254</v>
      </c>
      <c r="L6">
        <f>'BCDTRtSY-state-adjusted'!L17</f>
        <v>1.1756737030889579</v>
      </c>
      <c r="M6">
        <f>'BCDTRtSY-state-adjusted'!M17</f>
        <v>1.2062874998765674</v>
      </c>
      <c r="N6">
        <f>'BCDTRtSY-state-adjusted'!N17</f>
        <v>1.2329863991362662</v>
      </c>
      <c r="O6">
        <f>'BCDTRtSY-state-adjusted'!O17</f>
        <v>1.2563779840985558</v>
      </c>
      <c r="P6">
        <f>'BCDTRtSY-state-adjusted'!P17</f>
        <v>1.2799273382160721</v>
      </c>
      <c r="Q6">
        <f>'BCDTRtSY-state-adjusted'!Q17</f>
        <v>1.3023766125118807</v>
      </c>
      <c r="R6">
        <f>'BCDTRtSY-state-adjusted'!R17</f>
        <v>1.3250609817630654</v>
      </c>
      <c r="S6">
        <f>'BCDTRtSY-state-adjusted'!S17</f>
        <v>1.3481648158042776</v>
      </c>
      <c r="T6">
        <f>'BCDTRtSY-state-adjusted'!T17</f>
        <v>1.3726073731815356</v>
      </c>
      <c r="U6">
        <f>'BCDTRtSY-state-adjusted'!U17</f>
        <v>1.3967723498695956</v>
      </c>
      <c r="V6">
        <f>'BCDTRtSY-state-adjusted'!V17</f>
        <v>1.420951603225997</v>
      </c>
      <c r="W6">
        <f>'BCDTRtSY-state-adjusted'!W17</f>
        <v>1.4468257943929299</v>
      </c>
      <c r="X6">
        <f>'BCDTRtSY-state-adjusted'!X17</f>
        <v>1.4730754719561232</v>
      </c>
      <c r="Y6">
        <f>'BCDTRtSY-state-adjusted'!Y17</f>
        <v>1.4997438893611117</v>
      </c>
      <c r="Z6">
        <f>'BCDTRtSY-state-adjusted'!Z17</f>
        <v>1.5257320770254859</v>
      </c>
      <c r="AA6">
        <f>'BCDTRtSY-state-adjusted'!AA17</f>
        <v>1.5515540668735965</v>
      </c>
      <c r="AB6">
        <f>'BCDTRtSY-state-adjusted'!AB17</f>
        <v>1.579235356617398</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2026-08-14T21:48:43Z</dcterms:modified>
</cp:coreProperties>
</file>