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FL\add-outputs\HOIpTP\"/>
    </mc:Choice>
  </mc:AlternateContent>
  <xr:revisionPtr revIDLastSave="0" documentId="8_{52C42B1B-4B73-4999-9AA9-0A066366021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T14" i="19"/>
  <c r="B14" i="19"/>
  <c r="AA14" i="19" s="1"/>
  <c r="K13" i="19"/>
  <c r="B13" i="19"/>
  <c r="J13" i="19" s="1"/>
  <c r="U12" i="19"/>
  <c r="C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M8" i="19"/>
  <c r="K8" i="19"/>
  <c r="B8" i="19"/>
  <c r="L8" i="19" s="1"/>
  <c r="U7" i="19"/>
  <c r="B7" i="19"/>
  <c r="AA7" i="19" s="1"/>
  <c r="N6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Z3" i="19"/>
  <c r="Q3" i="19"/>
  <c r="K3" i="19"/>
  <c r="B3" i="19"/>
  <c r="AB2" i="19"/>
  <c r="W2" i="19"/>
  <c r="P2" i="19"/>
  <c r="H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Q15" i="18"/>
  <c r="E15" i="18"/>
  <c r="D15" i="18"/>
  <c r="B15" i="18"/>
  <c r="C15" i="18" s="1"/>
  <c r="AA14" i="18"/>
  <c r="Y14" i="18"/>
  <c r="U14" i="18"/>
  <c r="R14" i="18"/>
  <c r="H14" i="18"/>
  <c r="B14" i="18"/>
  <c r="AB14" i="18" s="1"/>
  <c r="G13" i="18"/>
  <c r="B13" i="18"/>
  <c r="Q13" i="18" s="1"/>
  <c r="Y12" i="18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B8" i="18"/>
  <c r="R8" i="18" s="1"/>
  <c r="AB7" i="18"/>
  <c r="AA7" i="18"/>
  <c r="H7" i="18"/>
  <c r="D7" i="18"/>
  <c r="C7" i="18"/>
  <c r="B7" i="18"/>
  <c r="G7" i="18" s="1"/>
  <c r="AA6" i="18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X17" i="17"/>
  <c r="R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F8" i="17"/>
  <c r="D8" i="17"/>
  <c r="C8" i="17"/>
  <c r="B8" i="17"/>
  <c r="AB8" i="17" s="1"/>
  <c r="B7" i="17"/>
  <c r="G6" i="17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Y17" i="16" s="1"/>
  <c r="B16" i="16"/>
  <c r="AA15" i="16"/>
  <c r="X15" i="16"/>
  <c r="K15" i="16"/>
  <c r="B15" i="16"/>
  <c r="Y15" i="16" s="1"/>
  <c r="G14" i="16"/>
  <c r="F14" i="16"/>
  <c r="B14" i="16"/>
  <c r="AB14" i="16" s="1"/>
  <c r="X13" i="16"/>
  <c r="W13" i="16"/>
  <c r="J13" i="16"/>
  <c r="D13" i="16"/>
  <c r="B13" i="16"/>
  <c r="Y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O7" i="16"/>
  <c r="H7" i="16"/>
  <c r="D7" i="16"/>
  <c r="C7" i="16"/>
  <c r="B7" i="16"/>
  <c r="W6" i="16"/>
  <c r="T6" i="16"/>
  <c r="N6" i="16"/>
  <c r="M6" i="16"/>
  <c r="L6" i="16"/>
  <c r="J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R3" i="16"/>
  <c r="O3" i="16"/>
  <c r="C3" i="16"/>
  <c r="B3" i="16"/>
  <c r="Z3" i="16" s="1"/>
  <c r="AA2" i="16"/>
  <c r="T2" i="16"/>
  <c r="Q2" i="16"/>
  <c r="D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T15" i="15"/>
  <c r="S15" i="15"/>
  <c r="K15" i="15"/>
  <c r="I15" i="15"/>
  <c r="B15" i="15"/>
  <c r="O14" i="15"/>
  <c r="N14" i="15"/>
  <c r="M14" i="15"/>
  <c r="E14" i="15"/>
  <c r="D14" i="15"/>
  <c r="B14" i="15"/>
  <c r="AB14" i="15" s="1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N12" i="15"/>
  <c r="M12" i="15"/>
  <c r="L12" i="15"/>
  <c r="J12" i="15"/>
  <c r="I12" i="15"/>
  <c r="H12" i="15"/>
  <c r="G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L8" i="15"/>
  <c r="K8" i="15"/>
  <c r="J8" i="15"/>
  <c r="H8" i="15"/>
  <c r="F8" i="15"/>
  <c r="E8" i="15"/>
  <c r="D8" i="15"/>
  <c r="B8" i="15"/>
  <c r="N7" i="15"/>
  <c r="M7" i="15"/>
  <c r="L7" i="15"/>
  <c r="B7" i="15"/>
  <c r="AB7" i="15" s="1"/>
  <c r="R6" i="15"/>
  <c r="B6" i="15"/>
  <c r="P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W3" i="15"/>
  <c r="L3" i="15"/>
  <c r="K3" i="15"/>
  <c r="I3" i="15"/>
  <c r="G3" i="15"/>
  <c r="F3" i="15"/>
  <c r="D3" i="15"/>
  <c r="C3" i="15"/>
  <c r="B3" i="15"/>
  <c r="L2" i="15"/>
  <c r="J2" i="15"/>
  <c r="I2" i="15"/>
  <c r="B2" i="15"/>
  <c r="AB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O15" i="14"/>
  <c r="N15" i="14"/>
  <c r="M15" i="14"/>
  <c r="B15" i="14"/>
  <c r="AB15" i="14" s="1"/>
  <c r="AB14" i="14"/>
  <c r="S14" i="14"/>
  <c r="R14" i="14"/>
  <c r="B14" i="14"/>
  <c r="Y14" i="14" s="1"/>
  <c r="X13" i="14"/>
  <c r="S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S7" i="14"/>
  <c r="B7" i="14"/>
  <c r="P7" i="14" s="1"/>
  <c r="AA6" i="14"/>
  <c r="X6" i="14"/>
  <c r="B6" i="14"/>
  <c r="W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P3" i="14"/>
  <c r="N3" i="14"/>
  <c r="M3" i="14"/>
  <c r="K3" i="14"/>
  <c r="J3" i="14"/>
  <c r="I3" i="14"/>
  <c r="F3" i="14"/>
  <c r="B3" i="14"/>
  <c r="V2" i="14"/>
  <c r="O2" i="14"/>
  <c r="M2" i="14"/>
  <c r="L2" i="14"/>
  <c r="F2" i="14"/>
  <c r="E2" i="14"/>
  <c r="B2" i="14"/>
  <c r="X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C17" i="13"/>
  <c r="B17" i="13"/>
  <c r="F17" i="13" s="1"/>
  <c r="U16" i="13"/>
  <c r="T16" i="13"/>
  <c r="H16" i="13"/>
  <c r="G16" i="13"/>
  <c r="B16" i="13"/>
  <c r="AA16" i="13" s="1"/>
  <c r="W15" i="13"/>
  <c r="V15" i="13"/>
  <c r="P15" i="13"/>
  <c r="O15" i="13"/>
  <c r="L15" i="13"/>
  <c r="K15" i="13"/>
  <c r="J15" i="13"/>
  <c r="B15" i="13"/>
  <c r="W14" i="13"/>
  <c r="Q14" i="13"/>
  <c r="P14" i="13"/>
  <c r="E14" i="13"/>
  <c r="B14" i="13"/>
  <c r="AA14" i="13" s="1"/>
  <c r="Y13" i="13"/>
  <c r="X13" i="13"/>
  <c r="V13" i="13"/>
  <c r="U13" i="13"/>
  <c r="F13" i="13"/>
  <c r="B13" i="13"/>
  <c r="V12" i="13"/>
  <c r="U12" i="13"/>
  <c r="S12" i="13"/>
  <c r="B12" i="13"/>
  <c r="W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A7" i="13"/>
  <c r="U7" i="13"/>
  <c r="S7" i="13"/>
  <c r="R7" i="13"/>
  <c r="M7" i="13"/>
  <c r="B7" i="13"/>
  <c r="O6" i="13"/>
  <c r="M6" i="13"/>
  <c r="H6" i="13"/>
  <c r="G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B3" i="13"/>
  <c r="AB2" i="13"/>
  <c r="U2" i="13"/>
  <c r="R2" i="13"/>
  <c r="Q2" i="13"/>
  <c r="M2" i="13"/>
  <c r="L2" i="13"/>
  <c r="H2" i="13"/>
  <c r="G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G17" i="12" s="1"/>
  <c r="AB16" i="12"/>
  <c r="AA16" i="12"/>
  <c r="Z16" i="12"/>
  <c r="J16" i="12"/>
  <c r="C16" i="12"/>
  <c r="B16" i="12"/>
  <c r="R15" i="12"/>
  <c r="O15" i="12"/>
  <c r="N15" i="12"/>
  <c r="M15" i="12"/>
  <c r="K15" i="12"/>
  <c r="B15" i="12"/>
  <c r="AB14" i="12"/>
  <c r="W14" i="12"/>
  <c r="V14" i="12"/>
  <c r="R14" i="12"/>
  <c r="Q14" i="12"/>
  <c r="K14" i="12"/>
  <c r="B14" i="12"/>
  <c r="B13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S8" i="12"/>
  <c r="R8" i="12"/>
  <c r="P8" i="12"/>
  <c r="M8" i="12"/>
  <c r="J8" i="12"/>
  <c r="I8" i="12"/>
  <c r="H8" i="12"/>
  <c r="F8" i="12"/>
  <c r="D8" i="12"/>
  <c r="C8" i="12"/>
  <c r="B8" i="12"/>
  <c r="G8" i="12" s="1"/>
  <c r="B7" i="12"/>
  <c r="AB7" i="12" s="1"/>
  <c r="F6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D17" i="11"/>
  <c r="C17" i="11"/>
  <c r="B17" i="11"/>
  <c r="AB16" i="11"/>
  <c r="Y16" i="11"/>
  <c r="W16" i="11"/>
  <c r="V16" i="11"/>
  <c r="D16" i="11"/>
  <c r="B16" i="11"/>
  <c r="AA16" i="11" s="1"/>
  <c r="B15" i="11"/>
  <c r="W15" i="11" s="1"/>
  <c r="B14" i="11"/>
  <c r="AB13" i="11"/>
  <c r="AA13" i="11"/>
  <c r="Z13" i="11"/>
  <c r="Y13" i="11"/>
  <c r="X13" i="11"/>
  <c r="V13" i="11"/>
  <c r="U13" i="11"/>
  <c r="R13" i="11"/>
  <c r="Q13" i="11"/>
  <c r="M13" i="11"/>
  <c r="L13" i="11"/>
  <c r="K13" i="11"/>
  <c r="B13" i="11"/>
  <c r="J13" i="11" s="1"/>
  <c r="T12" i="11"/>
  <c r="O12" i="11"/>
  <c r="L12" i="11"/>
  <c r="K12" i="11"/>
  <c r="J12" i="11"/>
  <c r="B12" i="11"/>
  <c r="C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R8" i="11"/>
  <c r="Q8" i="11"/>
  <c r="N8" i="11"/>
  <c r="K8" i="11"/>
  <c r="C8" i="11"/>
  <c r="B8" i="11"/>
  <c r="AA7" i="11"/>
  <c r="Z7" i="11"/>
  <c r="X7" i="11"/>
  <c r="W7" i="11"/>
  <c r="V7" i="11"/>
  <c r="U7" i="11"/>
  <c r="T7" i="11"/>
  <c r="K7" i="11"/>
  <c r="J7" i="11"/>
  <c r="I7" i="11"/>
  <c r="G7" i="11"/>
  <c r="F7" i="11"/>
  <c r="E7" i="11"/>
  <c r="C7" i="11"/>
  <c r="B7" i="11"/>
  <c r="X6" i="11"/>
  <c r="U6" i="11"/>
  <c r="T6" i="11"/>
  <c r="R6" i="11"/>
  <c r="Q6" i="11"/>
  <c r="L6" i="11"/>
  <c r="K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S3" i="11"/>
  <c r="B3" i="11"/>
  <c r="C3" i="11" s="1"/>
  <c r="Q2" i="11"/>
  <c r="N2" i="11"/>
  <c r="I2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N15" i="10"/>
  <c r="M15" i="10"/>
  <c r="B15" i="10"/>
  <c r="I15" i="10" s="1"/>
  <c r="Z14" i="10"/>
  <c r="Y14" i="10"/>
  <c r="W14" i="10"/>
  <c r="N14" i="10"/>
  <c r="M14" i="10"/>
  <c r="L14" i="10"/>
  <c r="B14" i="10"/>
  <c r="G14" i="10" s="1"/>
  <c r="AA13" i="10"/>
  <c r="Z13" i="10"/>
  <c r="Y13" i="10"/>
  <c r="P13" i="10"/>
  <c r="M13" i="10"/>
  <c r="B13" i="10"/>
  <c r="H13" i="10" s="1"/>
  <c r="B12" i="10"/>
  <c r="AB12" i="10" s="1"/>
  <c r="C11" i="10"/>
  <c r="B11" i="10"/>
  <c r="B10" i="10"/>
  <c r="B9" i="10"/>
  <c r="C8" i="10"/>
  <c r="B8" i="10"/>
  <c r="X7" i="10"/>
  <c r="B7" i="10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L2" i="10"/>
  <c r="K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W17" i="9"/>
  <c r="U17" i="9"/>
  <c r="T17" i="9"/>
  <c r="S17" i="9"/>
  <c r="P17" i="9"/>
  <c r="O17" i="9"/>
  <c r="M17" i="9"/>
  <c r="K17" i="9"/>
  <c r="J17" i="9"/>
  <c r="G17" i="9"/>
  <c r="F17" i="9"/>
  <c r="E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Z14" i="9"/>
  <c r="Y14" i="9"/>
  <c r="W14" i="9"/>
  <c r="V14" i="9"/>
  <c r="U14" i="9"/>
  <c r="T14" i="9"/>
  <c r="S14" i="9"/>
  <c r="R14" i="9"/>
  <c r="Q14" i="9"/>
  <c r="N14" i="9"/>
  <c r="M14" i="9"/>
  <c r="L14" i="9"/>
  <c r="K14" i="9"/>
  <c r="J14" i="9"/>
  <c r="G14" i="9"/>
  <c r="F14" i="9"/>
  <c r="C14" i="9"/>
  <c r="B14" i="9"/>
  <c r="Z13" i="9"/>
  <c r="X13" i="9"/>
  <c r="W13" i="9"/>
  <c r="S13" i="9"/>
  <c r="Q13" i="9"/>
  <c r="M13" i="9"/>
  <c r="D13" i="9"/>
  <c r="C13" i="9"/>
  <c r="B13" i="9"/>
  <c r="AA13" i="9" s="1"/>
  <c r="Z12" i="9"/>
  <c r="W12" i="9"/>
  <c r="U12" i="9"/>
  <c r="J12" i="9"/>
  <c r="H12" i="9"/>
  <c r="E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U8" i="9"/>
  <c r="P8" i="9"/>
  <c r="O8" i="9"/>
  <c r="N8" i="9"/>
  <c r="M8" i="9"/>
  <c r="L8" i="9"/>
  <c r="K8" i="9"/>
  <c r="I8" i="9"/>
  <c r="C8" i="9"/>
  <c r="B8" i="9"/>
  <c r="B7" i="9"/>
  <c r="Q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S3" i="9"/>
  <c r="O3" i="9"/>
  <c r="K3" i="9"/>
  <c r="G3" i="9"/>
  <c r="F3" i="9"/>
  <c r="C3" i="9"/>
  <c r="B3" i="9"/>
  <c r="AB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L15" i="8"/>
  <c r="H15" i="8"/>
  <c r="G15" i="8"/>
  <c r="F15" i="8"/>
  <c r="E15" i="8"/>
  <c r="B15" i="8"/>
  <c r="W14" i="8"/>
  <c r="V14" i="8"/>
  <c r="U14" i="8"/>
  <c r="T14" i="8"/>
  <c r="S14" i="8"/>
  <c r="R14" i="8"/>
  <c r="H14" i="8"/>
  <c r="F14" i="8"/>
  <c r="E14" i="8"/>
  <c r="D14" i="8"/>
  <c r="C14" i="8"/>
  <c r="B14" i="8"/>
  <c r="B13" i="8"/>
  <c r="AB12" i="8"/>
  <c r="AA12" i="8"/>
  <c r="Z12" i="8"/>
  <c r="U12" i="8"/>
  <c r="R12" i="8"/>
  <c r="Q12" i="8"/>
  <c r="O12" i="8"/>
  <c r="N12" i="8"/>
  <c r="H12" i="8"/>
  <c r="E12" i="8"/>
  <c r="D12" i="8"/>
  <c r="C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B8" i="8"/>
  <c r="H8" i="8" s="1"/>
  <c r="Z7" i="8"/>
  <c r="P7" i="8"/>
  <c r="O7" i="8"/>
  <c r="M7" i="8"/>
  <c r="K7" i="8"/>
  <c r="J7" i="8"/>
  <c r="G7" i="8"/>
  <c r="B7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D3" i="8"/>
  <c r="C3" i="8"/>
  <c r="B3" i="8"/>
  <c r="J3" i="8" s="1"/>
  <c r="Z2" i="8"/>
  <c r="R2" i="8"/>
  <c r="Q2" i="8"/>
  <c r="P2" i="8"/>
  <c r="N2" i="8"/>
  <c r="M2" i="8"/>
  <c r="L2" i="8"/>
  <c r="B2" i="8"/>
  <c r="H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T17" i="7"/>
  <c r="S17" i="7"/>
  <c r="Q17" i="7"/>
  <c r="M17" i="7"/>
  <c r="L17" i="7"/>
  <c r="K17" i="7"/>
  <c r="B17" i="7"/>
  <c r="N16" i="7"/>
  <c r="M16" i="7"/>
  <c r="L16" i="7"/>
  <c r="J16" i="7"/>
  <c r="H16" i="7"/>
  <c r="G16" i="7"/>
  <c r="B16" i="7"/>
  <c r="AA16" i="7" s="1"/>
  <c r="Z15" i="7"/>
  <c r="Y15" i="7"/>
  <c r="W15" i="7"/>
  <c r="V15" i="7"/>
  <c r="U15" i="7"/>
  <c r="T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B15" i="7"/>
  <c r="AA15" i="7" s="1"/>
  <c r="S14" i="7"/>
  <c r="R14" i="7"/>
  <c r="O14" i="7"/>
  <c r="B14" i="7"/>
  <c r="X14" i="7" s="1"/>
  <c r="AB13" i="7"/>
  <c r="AA13" i="7"/>
  <c r="X13" i="7"/>
  <c r="W13" i="7"/>
  <c r="Q13" i="7"/>
  <c r="O13" i="7"/>
  <c r="N13" i="7"/>
  <c r="K13" i="7"/>
  <c r="J13" i="7"/>
  <c r="I13" i="7"/>
  <c r="H13" i="7"/>
  <c r="F13" i="7"/>
  <c r="E13" i="7"/>
  <c r="B13" i="7"/>
  <c r="B12" i="7"/>
  <c r="S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L8" i="7"/>
  <c r="K8" i="7"/>
  <c r="H8" i="7"/>
  <c r="B8" i="7"/>
  <c r="V8" i="7" s="1"/>
  <c r="AB7" i="7"/>
  <c r="AA7" i="7"/>
  <c r="Z7" i="7"/>
  <c r="Y7" i="7"/>
  <c r="W7" i="7"/>
  <c r="K7" i="7"/>
  <c r="J7" i="7"/>
  <c r="I7" i="7"/>
  <c r="B7" i="7"/>
  <c r="C7" i="7" s="1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N3" i="7"/>
  <c r="M3" i="7"/>
  <c r="L3" i="7"/>
  <c r="B3" i="7"/>
  <c r="H3" i="7" s="1"/>
  <c r="Z2" i="7"/>
  <c r="S2" i="7"/>
  <c r="R2" i="7"/>
  <c r="Q2" i="7"/>
  <c r="P2" i="7"/>
  <c r="O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AA17" i="6"/>
  <c r="Q17" i="6"/>
  <c r="P17" i="6"/>
  <c r="O17" i="6"/>
  <c r="B17" i="6"/>
  <c r="F17" i="6" s="1"/>
  <c r="E16" i="6"/>
  <c r="D16" i="6"/>
  <c r="C16" i="6"/>
  <c r="B16" i="6"/>
  <c r="AB15" i="6"/>
  <c r="Z15" i="6"/>
  <c r="Y15" i="6"/>
  <c r="W15" i="6"/>
  <c r="V15" i="6"/>
  <c r="U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B14" i="6"/>
  <c r="AA14" i="6"/>
  <c r="Y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F14" i="6"/>
  <c r="E14" i="6"/>
  <c r="D14" i="6"/>
  <c r="C14" i="6"/>
  <c r="B14" i="6"/>
  <c r="R13" i="6"/>
  <c r="Q13" i="6"/>
  <c r="P13" i="6"/>
  <c r="O13" i="6"/>
  <c r="N13" i="6"/>
  <c r="M13" i="6"/>
  <c r="K13" i="6"/>
  <c r="B13" i="6"/>
  <c r="U12" i="6"/>
  <c r="T12" i="6"/>
  <c r="B12" i="6"/>
  <c r="W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B7" i="6"/>
  <c r="J7" i="6" s="1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P3" i="6"/>
  <c r="O3" i="6"/>
  <c r="M3" i="6"/>
  <c r="L3" i="6"/>
  <c r="K3" i="6"/>
  <c r="F3" i="6"/>
  <c r="C3" i="6"/>
  <c r="B3" i="6"/>
  <c r="V3" i="6" s="1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S17" i="5"/>
  <c r="R17" i="5"/>
  <c r="Q17" i="5"/>
  <c r="B17" i="5"/>
  <c r="O17" i="5" s="1"/>
  <c r="B16" i="5"/>
  <c r="AB15" i="5"/>
  <c r="AA15" i="5"/>
  <c r="Z15" i="5"/>
  <c r="Q15" i="5"/>
  <c r="P15" i="5"/>
  <c r="O15" i="5"/>
  <c r="N15" i="5"/>
  <c r="M15" i="5"/>
  <c r="H15" i="5"/>
  <c r="G15" i="5"/>
  <c r="F15" i="5"/>
  <c r="E15" i="5"/>
  <c r="D15" i="5"/>
  <c r="C15" i="5"/>
  <c r="B15" i="5"/>
  <c r="X15" i="5" s="1"/>
  <c r="B14" i="5"/>
  <c r="D14" i="5" s="1"/>
  <c r="B13" i="5"/>
  <c r="Z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X7" i="5"/>
  <c r="V7" i="5"/>
  <c r="U7" i="5"/>
  <c r="N7" i="5"/>
  <c r="I7" i="5"/>
  <c r="B7" i="5"/>
  <c r="D7" i="5" s="1"/>
  <c r="W6" i="5"/>
  <c r="R6" i="5"/>
  <c r="M6" i="5"/>
  <c r="K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B3" i="5"/>
  <c r="W3" i="5" s="1"/>
  <c r="B2" i="5"/>
  <c r="B2" i="1"/>
  <c r="Y13" i="5" l="1"/>
  <c r="R12" i="7"/>
  <c r="S14" i="11"/>
  <c r="AA14" i="11"/>
  <c r="U14" i="11"/>
  <c r="L14" i="11"/>
  <c r="K14" i="11"/>
  <c r="H14" i="11"/>
  <c r="G14" i="11"/>
  <c r="AB14" i="11"/>
  <c r="W14" i="11"/>
  <c r="X14" i="11"/>
  <c r="V14" i="11"/>
  <c r="T14" i="11"/>
  <c r="Q14" i="11"/>
  <c r="P14" i="11"/>
  <c r="O14" i="11"/>
  <c r="E14" i="11"/>
  <c r="N14" i="11"/>
  <c r="M14" i="11"/>
  <c r="J14" i="11"/>
  <c r="I14" i="11"/>
  <c r="F14" i="11"/>
  <c r="C14" i="11"/>
  <c r="R14" i="11"/>
  <c r="AB13" i="5"/>
  <c r="R13" i="5"/>
  <c r="H13" i="5"/>
  <c r="M13" i="5"/>
  <c r="K13" i="5"/>
  <c r="J13" i="5"/>
  <c r="G13" i="5"/>
  <c r="F13" i="5"/>
  <c r="X13" i="5"/>
  <c r="I13" i="5"/>
  <c r="D13" i="5"/>
  <c r="O12" i="7"/>
  <c r="N12" i="7"/>
  <c r="M12" i="7"/>
  <c r="L12" i="7"/>
  <c r="F12" i="7"/>
  <c r="K12" i="7"/>
  <c r="J12" i="7"/>
  <c r="H12" i="7"/>
  <c r="E12" i="7"/>
  <c r="C12" i="7"/>
  <c r="T12" i="7"/>
  <c r="AB12" i="7"/>
  <c r="Y12" i="7"/>
  <c r="X12" i="7"/>
  <c r="V12" i="7"/>
  <c r="W12" i="7"/>
  <c r="P12" i="7"/>
  <c r="G12" i="7"/>
  <c r="AA6" i="7"/>
  <c r="N6" i="7"/>
  <c r="K6" i="7"/>
  <c r="AB6" i="7"/>
  <c r="X6" i="7"/>
  <c r="W6" i="7"/>
  <c r="Z6" i="7"/>
  <c r="U6" i="7"/>
  <c r="S6" i="7"/>
  <c r="R6" i="7"/>
  <c r="H6" i="7"/>
  <c r="F6" i="7"/>
  <c r="Q6" i="7"/>
  <c r="P6" i="7"/>
  <c r="O6" i="7"/>
  <c r="I6" i="7"/>
  <c r="E2" i="5"/>
  <c r="C2" i="5"/>
  <c r="D2" i="5"/>
  <c r="F2" i="5"/>
  <c r="V6" i="7"/>
  <c r="U3" i="12"/>
  <c r="J3" i="12"/>
  <c r="I3" i="12"/>
  <c r="G3" i="12"/>
  <c r="AA3" i="12"/>
  <c r="Z3" i="12"/>
  <c r="Y3" i="12"/>
  <c r="T3" i="12"/>
  <c r="F3" i="12"/>
  <c r="P3" i="12"/>
  <c r="K3" i="12"/>
  <c r="N3" i="12"/>
  <c r="M3" i="12"/>
  <c r="L3" i="12"/>
  <c r="AA3" i="13"/>
  <c r="D3" i="13"/>
  <c r="W3" i="13"/>
  <c r="V3" i="13"/>
  <c r="P3" i="13"/>
  <c r="L3" i="13"/>
  <c r="K3" i="13"/>
  <c r="AB3" i="13"/>
  <c r="N3" i="13"/>
  <c r="C3" i="13"/>
  <c r="M3" i="13"/>
  <c r="J3" i="13"/>
  <c r="E3" i="13"/>
  <c r="I3" i="13"/>
  <c r="F3" i="13"/>
  <c r="AB8" i="6"/>
  <c r="U8" i="6"/>
  <c r="C8" i="6"/>
  <c r="J8" i="6"/>
  <c r="H8" i="6"/>
  <c r="D8" i="6"/>
  <c r="I8" i="6"/>
  <c r="G8" i="6"/>
  <c r="E8" i="6"/>
  <c r="Y7" i="9"/>
  <c r="W7" i="9"/>
  <c r="V7" i="9"/>
  <c r="S7" i="9"/>
  <c r="R7" i="9"/>
  <c r="N7" i="9"/>
  <c r="M7" i="9"/>
  <c r="L7" i="9"/>
  <c r="J7" i="9"/>
  <c r="I7" i="9"/>
  <c r="F7" i="9"/>
  <c r="G7" i="9"/>
  <c r="D7" i="9"/>
  <c r="C7" i="9"/>
  <c r="AB7" i="9"/>
  <c r="AA7" i="9"/>
  <c r="X7" i="9"/>
  <c r="U7" i="9"/>
  <c r="P7" i="9"/>
  <c r="T7" i="9"/>
  <c r="T13" i="8"/>
  <c r="S13" i="8"/>
  <c r="P13" i="8"/>
  <c r="O13" i="8"/>
  <c r="AB13" i="8"/>
  <c r="AA13" i="8"/>
  <c r="W13" i="8"/>
  <c r="Q13" i="8"/>
  <c r="N13" i="8"/>
  <c r="X13" i="8"/>
  <c r="R13" i="8"/>
  <c r="V13" i="8"/>
  <c r="U13" i="8"/>
  <c r="L13" i="8"/>
  <c r="C13" i="8"/>
  <c r="K13" i="8"/>
  <c r="J13" i="8"/>
  <c r="I13" i="8"/>
  <c r="H13" i="8"/>
  <c r="E13" i="8"/>
  <c r="G13" i="8"/>
  <c r="F13" i="8"/>
  <c r="V7" i="12"/>
  <c r="S7" i="12"/>
  <c r="P7" i="12"/>
  <c r="I7" i="12"/>
  <c r="G7" i="12"/>
  <c r="Z7" i="12"/>
  <c r="Y7" i="12"/>
  <c r="X7" i="12"/>
  <c r="K7" i="12"/>
  <c r="F7" i="12"/>
  <c r="W7" i="12"/>
  <c r="J7" i="12"/>
  <c r="E7" i="12"/>
  <c r="D7" i="12"/>
  <c r="AA7" i="12"/>
  <c r="M13" i="8"/>
  <c r="AA6" i="6"/>
  <c r="P6" i="6"/>
  <c r="O6" i="6"/>
  <c r="K6" i="6"/>
  <c r="N6" i="6"/>
  <c r="M6" i="6"/>
  <c r="I6" i="6"/>
  <c r="E6" i="6"/>
  <c r="L6" i="6"/>
  <c r="J6" i="6"/>
  <c r="AB6" i="6"/>
  <c r="T14" i="7"/>
  <c r="W2" i="10"/>
  <c r="X2" i="10"/>
  <c r="V2" i="10"/>
  <c r="N2" i="10"/>
  <c r="M2" i="10"/>
  <c r="AB8" i="7"/>
  <c r="T2" i="6"/>
  <c r="P17" i="5"/>
  <c r="S12" i="6"/>
  <c r="Z17" i="6"/>
  <c r="K3" i="7"/>
  <c r="H7" i="7"/>
  <c r="G8" i="7"/>
  <c r="W2" i="8"/>
  <c r="X14" i="8"/>
  <c r="Q14" i="8"/>
  <c r="P14" i="8"/>
  <c r="M14" i="8"/>
  <c r="L14" i="8"/>
  <c r="Z15" i="8"/>
  <c r="O15" i="8"/>
  <c r="N15" i="8"/>
  <c r="K15" i="8"/>
  <c r="J15" i="8"/>
  <c r="J2" i="10"/>
  <c r="K14" i="10"/>
  <c r="L15" i="10"/>
  <c r="G12" i="11"/>
  <c r="R12" i="13"/>
  <c r="M14" i="13"/>
  <c r="L15" i="14"/>
  <c r="H2" i="15"/>
  <c r="J7" i="15"/>
  <c r="Z7" i="16"/>
  <c r="AB7" i="16"/>
  <c r="X7" i="16"/>
  <c r="V7" i="16"/>
  <c r="U7" i="16"/>
  <c r="P7" i="16"/>
  <c r="M7" i="16"/>
  <c r="L7" i="16"/>
  <c r="J7" i="16"/>
  <c r="I7" i="16"/>
  <c r="G7" i="16"/>
  <c r="F7" i="16"/>
  <c r="E7" i="16"/>
  <c r="Z14" i="7"/>
  <c r="V14" i="7"/>
  <c r="U14" i="7"/>
  <c r="Q14" i="7"/>
  <c r="O14" i="10"/>
  <c r="P15" i="10"/>
  <c r="Y7" i="13"/>
  <c r="N7" i="13"/>
  <c r="H7" i="13"/>
  <c r="Z7" i="13"/>
  <c r="X7" i="13"/>
  <c r="Y14" i="13"/>
  <c r="C7" i="14"/>
  <c r="Q15" i="14"/>
  <c r="M2" i="15"/>
  <c r="E6" i="15"/>
  <c r="O7" i="15"/>
  <c r="F8" i="18"/>
  <c r="V12" i="6"/>
  <c r="P3" i="11"/>
  <c r="M3" i="11"/>
  <c r="J3" i="11"/>
  <c r="I3" i="11"/>
  <c r="U2" i="10"/>
  <c r="V14" i="5"/>
  <c r="R15" i="5"/>
  <c r="U17" i="5"/>
  <c r="Y12" i="6"/>
  <c r="D17" i="6"/>
  <c r="Y2" i="7"/>
  <c r="M2" i="7"/>
  <c r="L2" i="7"/>
  <c r="P3" i="7"/>
  <c r="O7" i="7"/>
  <c r="N8" i="7"/>
  <c r="F14" i="7"/>
  <c r="G14" i="8"/>
  <c r="I15" i="8"/>
  <c r="Y2" i="10"/>
  <c r="G12" i="10"/>
  <c r="P14" i="10"/>
  <c r="Q15" i="10"/>
  <c r="D3" i="11"/>
  <c r="P12" i="11"/>
  <c r="C7" i="13"/>
  <c r="W13" i="13"/>
  <c r="Z13" i="13"/>
  <c r="S13" i="13"/>
  <c r="R13" i="13"/>
  <c r="Q13" i="13"/>
  <c r="P13" i="13"/>
  <c r="M13" i="13"/>
  <c r="K13" i="13"/>
  <c r="P2" i="14"/>
  <c r="D7" i="14"/>
  <c r="R15" i="14"/>
  <c r="N2" i="15"/>
  <c r="I6" i="15"/>
  <c r="R7" i="15"/>
  <c r="R7" i="16"/>
  <c r="Q8" i="18"/>
  <c r="T17" i="5"/>
  <c r="O3" i="7"/>
  <c r="N7" i="7"/>
  <c r="M8" i="7"/>
  <c r="AB17" i="7"/>
  <c r="H17" i="7"/>
  <c r="G17" i="7"/>
  <c r="C17" i="7"/>
  <c r="Z12" i="10"/>
  <c r="Q14" i="10"/>
  <c r="R15" i="10"/>
  <c r="E3" i="11"/>
  <c r="X15" i="12"/>
  <c r="P15" i="12"/>
  <c r="L15" i="12"/>
  <c r="E15" i="12"/>
  <c r="AB15" i="12"/>
  <c r="D15" i="12"/>
  <c r="AA15" i="12"/>
  <c r="C15" i="12"/>
  <c r="W15" i="12"/>
  <c r="V15" i="12"/>
  <c r="D7" i="13"/>
  <c r="X15" i="13"/>
  <c r="H15" i="13"/>
  <c r="AB15" i="13"/>
  <c r="D15" i="13"/>
  <c r="T15" i="13"/>
  <c r="S15" i="13"/>
  <c r="R15" i="13"/>
  <c r="Q15" i="13"/>
  <c r="N15" i="13"/>
  <c r="M15" i="13"/>
  <c r="H7" i="14"/>
  <c r="AB13" i="14"/>
  <c r="Q13" i="14"/>
  <c r="S15" i="14"/>
  <c r="O2" i="15"/>
  <c r="K6" i="15"/>
  <c r="S7" i="15"/>
  <c r="S7" i="16"/>
  <c r="D6" i="15"/>
  <c r="Y8" i="18"/>
  <c r="X8" i="18"/>
  <c r="W8" i="18"/>
  <c r="U8" i="18"/>
  <c r="T8" i="18"/>
  <c r="S8" i="18"/>
  <c r="P8" i="18"/>
  <c r="O8" i="18"/>
  <c r="N8" i="18"/>
  <c r="M8" i="18"/>
  <c r="K8" i="18"/>
  <c r="J8" i="18"/>
  <c r="G8" i="18"/>
  <c r="E8" i="18"/>
  <c r="D8" i="18"/>
  <c r="C8" i="18"/>
  <c r="W14" i="5"/>
  <c r="V17" i="5"/>
  <c r="S3" i="7"/>
  <c r="P7" i="7"/>
  <c r="P8" i="7"/>
  <c r="H14" i="7"/>
  <c r="Z2" i="10"/>
  <c r="AB13" i="6"/>
  <c r="T13" i="6"/>
  <c r="S13" i="6"/>
  <c r="H2" i="7"/>
  <c r="T3" i="7"/>
  <c r="Q7" i="7"/>
  <c r="Q8" i="7"/>
  <c r="I14" i="7"/>
  <c r="D17" i="7"/>
  <c r="C2" i="8"/>
  <c r="E6" i="8"/>
  <c r="I14" i="8"/>
  <c r="M15" i="8"/>
  <c r="W8" i="9"/>
  <c r="Y8" i="9"/>
  <c r="X8" i="9"/>
  <c r="S8" i="9"/>
  <c r="R8" i="9"/>
  <c r="Y13" i="9"/>
  <c r="AA2" i="10"/>
  <c r="AA12" i="10"/>
  <c r="R14" i="10"/>
  <c r="T15" i="10"/>
  <c r="H3" i="11"/>
  <c r="AB8" i="11"/>
  <c r="E8" i="11"/>
  <c r="T8" i="11"/>
  <c r="S8" i="11"/>
  <c r="P8" i="11"/>
  <c r="O8" i="11"/>
  <c r="U12" i="11"/>
  <c r="F15" i="12"/>
  <c r="O17" i="12"/>
  <c r="E7" i="13"/>
  <c r="G13" i="13"/>
  <c r="C15" i="13"/>
  <c r="E17" i="13"/>
  <c r="I7" i="14"/>
  <c r="E13" i="14"/>
  <c r="U15" i="14"/>
  <c r="R2" i="15"/>
  <c r="L6" i="15"/>
  <c r="Y7" i="15"/>
  <c r="T7" i="16"/>
  <c r="V8" i="18"/>
  <c r="N17" i="6"/>
  <c r="M17" i="6"/>
  <c r="L17" i="6"/>
  <c r="O14" i="5"/>
  <c r="S15" i="5"/>
  <c r="AB12" i="6"/>
  <c r="E17" i="6"/>
  <c r="U15" i="5"/>
  <c r="G13" i="6"/>
  <c r="G17" i="6"/>
  <c r="I2" i="7"/>
  <c r="Z3" i="7"/>
  <c r="R7" i="7"/>
  <c r="R8" i="7"/>
  <c r="J14" i="7"/>
  <c r="J14" i="8"/>
  <c r="P15" i="8"/>
  <c r="S14" i="10"/>
  <c r="U15" i="10"/>
  <c r="K3" i="11"/>
  <c r="Z12" i="11"/>
  <c r="G15" i="12"/>
  <c r="T17" i="12"/>
  <c r="S2" i="13"/>
  <c r="D2" i="13"/>
  <c r="Z2" i="13"/>
  <c r="P2" i="13"/>
  <c r="O2" i="13"/>
  <c r="N2" i="13"/>
  <c r="J2" i="13"/>
  <c r="I2" i="13"/>
  <c r="F7" i="13"/>
  <c r="H13" i="13"/>
  <c r="E15" i="13"/>
  <c r="L3" i="14"/>
  <c r="G3" i="14"/>
  <c r="AB3" i="14"/>
  <c r="Z3" i="14"/>
  <c r="Y3" i="14"/>
  <c r="X3" i="14"/>
  <c r="U3" i="14"/>
  <c r="T3" i="14"/>
  <c r="N7" i="14"/>
  <c r="G13" i="14"/>
  <c r="V15" i="14"/>
  <c r="S2" i="15"/>
  <c r="M6" i="15"/>
  <c r="Z7" i="15"/>
  <c r="Y7" i="16"/>
  <c r="AA8" i="18"/>
  <c r="Z2" i="17"/>
  <c r="W2" i="17"/>
  <c r="J2" i="17"/>
  <c r="I2" i="17"/>
  <c r="G2" i="17"/>
  <c r="F2" i="17"/>
  <c r="L2" i="17"/>
  <c r="C17" i="6"/>
  <c r="D14" i="7"/>
  <c r="Y14" i="5"/>
  <c r="T15" i="5"/>
  <c r="W17" i="5"/>
  <c r="Q3" i="6"/>
  <c r="Z14" i="5"/>
  <c r="X17" i="5"/>
  <c r="S3" i="6"/>
  <c r="E17" i="7"/>
  <c r="G2" i="8"/>
  <c r="F6" i="8"/>
  <c r="AA15" i="9"/>
  <c r="Y15" i="9"/>
  <c r="M15" i="9"/>
  <c r="AA14" i="5"/>
  <c r="V15" i="5"/>
  <c r="Y17" i="5"/>
  <c r="U3" i="6"/>
  <c r="H13" i="6"/>
  <c r="H17" i="6"/>
  <c r="K2" i="7"/>
  <c r="AB3" i="7"/>
  <c r="S7" i="7"/>
  <c r="T8" i="7"/>
  <c r="Z13" i="7"/>
  <c r="S13" i="7"/>
  <c r="R13" i="7"/>
  <c r="M13" i="7"/>
  <c r="L14" i="7"/>
  <c r="F17" i="7"/>
  <c r="O6" i="8"/>
  <c r="X12" i="8"/>
  <c r="W12" i="8"/>
  <c r="T12" i="8"/>
  <c r="S12" i="8"/>
  <c r="K14" i="8"/>
  <c r="U15" i="8"/>
  <c r="E8" i="9"/>
  <c r="K15" i="9"/>
  <c r="J3" i="10"/>
  <c r="D13" i="10"/>
  <c r="T14" i="10"/>
  <c r="V15" i="10"/>
  <c r="L3" i="11"/>
  <c r="D8" i="11"/>
  <c r="AB12" i="11"/>
  <c r="H15" i="12"/>
  <c r="C2" i="13"/>
  <c r="G7" i="13"/>
  <c r="N13" i="13"/>
  <c r="F15" i="13"/>
  <c r="C3" i="14"/>
  <c r="O7" i="14"/>
  <c r="K13" i="14"/>
  <c r="W15" i="14"/>
  <c r="AA2" i="15"/>
  <c r="O6" i="15"/>
  <c r="AA7" i="15"/>
  <c r="AB8" i="18"/>
  <c r="O2" i="8"/>
  <c r="F2" i="8"/>
  <c r="D2" i="8"/>
  <c r="AA2" i="8"/>
  <c r="AB14" i="5"/>
  <c r="W15" i="5"/>
  <c r="I13" i="6"/>
  <c r="J17" i="6"/>
  <c r="N2" i="7"/>
  <c r="U7" i="7"/>
  <c r="U8" i="7"/>
  <c r="M14" i="7"/>
  <c r="I17" i="7"/>
  <c r="I2" i="8"/>
  <c r="P6" i="8"/>
  <c r="N14" i="8"/>
  <c r="Y15" i="8"/>
  <c r="F8" i="9"/>
  <c r="Y12" i="9"/>
  <c r="X12" i="9"/>
  <c r="S12" i="9"/>
  <c r="O12" i="9"/>
  <c r="X14" i="9"/>
  <c r="I14" i="9"/>
  <c r="H14" i="9"/>
  <c r="AB14" i="9"/>
  <c r="E14" i="9"/>
  <c r="AA14" i="9"/>
  <c r="D14" i="9"/>
  <c r="Z15" i="9"/>
  <c r="Z17" i="9"/>
  <c r="AA17" i="9"/>
  <c r="F13" i="10"/>
  <c r="U14" i="10"/>
  <c r="W15" i="10"/>
  <c r="Q3" i="11"/>
  <c r="I8" i="11"/>
  <c r="I15" i="12"/>
  <c r="E2" i="13"/>
  <c r="I7" i="13"/>
  <c r="O13" i="13"/>
  <c r="G15" i="13"/>
  <c r="D3" i="14"/>
  <c r="N13" i="14"/>
  <c r="Y15" i="14"/>
  <c r="G6" i="15"/>
  <c r="N6" i="15"/>
  <c r="J6" i="15"/>
  <c r="AB6" i="15"/>
  <c r="AA6" i="15"/>
  <c r="X6" i="15"/>
  <c r="W6" i="15"/>
  <c r="T6" i="15"/>
  <c r="S6" i="15"/>
  <c r="P2" i="10"/>
  <c r="O15" i="10"/>
  <c r="Z7" i="14"/>
  <c r="AB7" i="14"/>
  <c r="V7" i="14"/>
  <c r="M7" i="14"/>
  <c r="L7" i="14"/>
  <c r="K7" i="14"/>
  <c r="J7" i="14"/>
  <c r="G7" i="14"/>
  <c r="E7" i="14"/>
  <c r="Y15" i="5"/>
  <c r="K17" i="6"/>
  <c r="V7" i="7"/>
  <c r="N14" i="7"/>
  <c r="J17" i="7"/>
  <c r="K2" i="8"/>
  <c r="W7" i="8"/>
  <c r="U7" i="8"/>
  <c r="O14" i="8"/>
  <c r="AA15" i="8"/>
  <c r="G8" i="9"/>
  <c r="V14" i="10"/>
  <c r="AA15" i="10"/>
  <c r="R3" i="11"/>
  <c r="Q7" i="11"/>
  <c r="H7" i="11"/>
  <c r="AB7" i="11"/>
  <c r="D7" i="11"/>
  <c r="S7" i="11"/>
  <c r="R7" i="11"/>
  <c r="N7" i="11"/>
  <c r="M7" i="11"/>
  <c r="J8" i="11"/>
  <c r="J15" i="12"/>
  <c r="F2" i="13"/>
  <c r="L7" i="13"/>
  <c r="T13" i="13"/>
  <c r="I15" i="13"/>
  <c r="E3" i="14"/>
  <c r="R7" i="14"/>
  <c r="R13" i="14"/>
  <c r="P3" i="15"/>
  <c r="J3" i="15"/>
  <c r="E3" i="15"/>
  <c r="AA3" i="15"/>
  <c r="Z3" i="15"/>
  <c r="Y3" i="15"/>
  <c r="X3" i="15"/>
  <c r="T3" i="15"/>
  <c r="Q3" i="15"/>
  <c r="Q6" i="15"/>
  <c r="G8" i="15"/>
  <c r="C8" i="15"/>
  <c r="Y8" i="15"/>
  <c r="X8" i="15"/>
  <c r="W8" i="15"/>
  <c r="T8" i="15"/>
  <c r="N8" i="15"/>
  <c r="M8" i="15"/>
  <c r="U3" i="11"/>
  <c r="U6" i="14"/>
  <c r="Z6" i="14"/>
  <c r="S6" i="14"/>
  <c r="M6" i="14"/>
  <c r="L6" i="14"/>
  <c r="K6" i="14"/>
  <c r="J6" i="14"/>
  <c r="F6" i="14"/>
  <c r="E6" i="14"/>
  <c r="W7" i="14"/>
  <c r="U6" i="15"/>
  <c r="W2" i="18"/>
  <c r="Z2" i="18"/>
  <c r="Y2" i="18"/>
  <c r="X2" i="18"/>
  <c r="S2" i="18"/>
  <c r="R2" i="18"/>
  <c r="P2" i="18"/>
  <c r="O2" i="18"/>
  <c r="N2" i="18"/>
  <c r="M2" i="18"/>
  <c r="L2" i="18"/>
  <c r="J2" i="18"/>
  <c r="G2" i="18"/>
  <c r="F2" i="18"/>
  <c r="Y3" i="11"/>
  <c r="G6" i="14"/>
  <c r="X7" i="14"/>
  <c r="V6" i="15"/>
  <c r="D2" i="18"/>
  <c r="X17" i="18"/>
  <c r="U17" i="18"/>
  <c r="T17" i="18"/>
  <c r="S17" i="18"/>
  <c r="Q17" i="18"/>
  <c r="P17" i="18"/>
  <c r="O17" i="18"/>
  <c r="L17" i="18"/>
  <c r="J17" i="18"/>
  <c r="I17" i="18"/>
  <c r="G17" i="18"/>
  <c r="E17" i="18"/>
  <c r="D17" i="18"/>
  <c r="C17" i="18"/>
  <c r="AB17" i="18"/>
  <c r="AA17" i="18"/>
  <c r="Y17" i="18"/>
  <c r="X12" i="6"/>
  <c r="O12" i="6"/>
  <c r="N12" i="6"/>
  <c r="H6" i="14"/>
  <c r="Y7" i="14"/>
  <c r="X7" i="15"/>
  <c r="K7" i="15"/>
  <c r="G7" i="15"/>
  <c r="W7" i="15"/>
  <c r="V7" i="15"/>
  <c r="U7" i="15"/>
  <c r="T7" i="15"/>
  <c r="Q7" i="15"/>
  <c r="P7" i="15"/>
  <c r="X7" i="17"/>
  <c r="W7" i="17"/>
  <c r="V7" i="17"/>
  <c r="T7" i="17"/>
  <c r="S7" i="17"/>
  <c r="R7" i="17"/>
  <c r="K7" i="17"/>
  <c r="J7" i="17"/>
  <c r="G7" i="17"/>
  <c r="F7" i="17"/>
  <c r="E7" i="17"/>
  <c r="D7" i="17"/>
  <c r="K2" i="18"/>
  <c r="M17" i="18"/>
  <c r="C2" i="10"/>
  <c r="Q8" i="10"/>
  <c r="Z8" i="10"/>
  <c r="N8" i="10"/>
  <c r="C15" i="10"/>
  <c r="C12" i="12"/>
  <c r="Q15" i="12"/>
  <c r="W7" i="13"/>
  <c r="U14" i="13"/>
  <c r="H14" i="13"/>
  <c r="V14" i="13"/>
  <c r="T14" i="13"/>
  <c r="S14" i="13"/>
  <c r="R14" i="13"/>
  <c r="O14" i="13"/>
  <c r="N14" i="13"/>
  <c r="N6" i="14"/>
  <c r="C7" i="15"/>
  <c r="H7" i="17"/>
  <c r="U2" i="18"/>
  <c r="N17" i="18"/>
  <c r="X8" i="7"/>
  <c r="J8" i="7"/>
  <c r="I8" i="7"/>
  <c r="X2" i="15"/>
  <c r="K2" i="15"/>
  <c r="G2" i="15"/>
  <c r="Z2" i="15"/>
  <c r="Y2" i="15"/>
  <c r="V2" i="15"/>
  <c r="U2" i="15"/>
  <c r="Q2" i="15"/>
  <c r="P2" i="15"/>
  <c r="D7" i="15"/>
  <c r="O7" i="17"/>
  <c r="V2" i="18"/>
  <c r="R17" i="18"/>
  <c r="D12" i="6"/>
  <c r="S17" i="6"/>
  <c r="D17" i="5"/>
  <c r="T17" i="6"/>
  <c r="D2" i="10"/>
  <c r="H12" i="12"/>
  <c r="I15" i="5"/>
  <c r="U17" i="6"/>
  <c r="S2" i="8"/>
  <c r="Z12" i="12"/>
  <c r="S15" i="12"/>
  <c r="Z3" i="18"/>
  <c r="H3" i="18"/>
  <c r="E3" i="18"/>
  <c r="D3" i="18"/>
  <c r="Y3" i="18"/>
  <c r="W3" i="18"/>
  <c r="V3" i="18"/>
  <c r="S3" i="18"/>
  <c r="R3" i="18"/>
  <c r="Q3" i="18"/>
  <c r="N3" i="18"/>
  <c r="M3" i="18"/>
  <c r="K3" i="18"/>
  <c r="V17" i="18"/>
  <c r="G7" i="7"/>
  <c r="M7" i="7"/>
  <c r="L7" i="7"/>
  <c r="Y14" i="7"/>
  <c r="X6" i="5"/>
  <c r="J17" i="5"/>
  <c r="Z2" i="6"/>
  <c r="K12" i="6"/>
  <c r="V13" i="6"/>
  <c r="F3" i="7"/>
  <c r="C8" i="7"/>
  <c r="Q7" i="8"/>
  <c r="Y14" i="8"/>
  <c r="Y3" i="9"/>
  <c r="E2" i="10"/>
  <c r="G8" i="10"/>
  <c r="C14" i="10"/>
  <c r="G15" i="10"/>
  <c r="AB12" i="13"/>
  <c r="X12" i="13"/>
  <c r="T12" i="13"/>
  <c r="J12" i="13"/>
  <c r="I12" i="13"/>
  <c r="H12" i="13"/>
  <c r="D12" i="13"/>
  <c r="F14" i="13"/>
  <c r="X15" i="14"/>
  <c r="T15" i="14"/>
  <c r="P15" i="14"/>
  <c r="J15" i="14"/>
  <c r="I15" i="14"/>
  <c r="H15" i="14"/>
  <c r="G15" i="14"/>
  <c r="AA15" i="14"/>
  <c r="D15" i="14"/>
  <c r="Z15" i="14"/>
  <c r="C15" i="14"/>
  <c r="C2" i="15"/>
  <c r="U17" i="16"/>
  <c r="J17" i="16"/>
  <c r="G17" i="16"/>
  <c r="D17" i="16"/>
  <c r="C17" i="16"/>
  <c r="AB17" i="16"/>
  <c r="Z17" i="16"/>
  <c r="P7" i="17"/>
  <c r="L3" i="5"/>
  <c r="Z6" i="5"/>
  <c r="J15" i="5"/>
  <c r="K17" i="5"/>
  <c r="AA2" i="6"/>
  <c r="L12" i="6"/>
  <c r="Y13" i="6"/>
  <c r="X15" i="6"/>
  <c r="T15" i="6"/>
  <c r="S15" i="6"/>
  <c r="AA15" i="6"/>
  <c r="V17" i="6"/>
  <c r="G3" i="7"/>
  <c r="D7" i="7"/>
  <c r="D8" i="7"/>
  <c r="T13" i="7"/>
  <c r="AB14" i="7"/>
  <c r="V17" i="7"/>
  <c r="T2" i="8"/>
  <c r="S7" i="8"/>
  <c r="V12" i="8"/>
  <c r="Z14" i="8"/>
  <c r="Z3" i="9"/>
  <c r="Q8" i="9"/>
  <c r="AA12" i="9"/>
  <c r="O14" i="9"/>
  <c r="Q17" i="9"/>
  <c r="F2" i="10"/>
  <c r="I8" i="10"/>
  <c r="F14" i="10"/>
  <c r="H15" i="10"/>
  <c r="L7" i="11"/>
  <c r="R15" i="11"/>
  <c r="AA12" i="12"/>
  <c r="T15" i="12"/>
  <c r="V2" i="13"/>
  <c r="L12" i="13"/>
  <c r="J14" i="13"/>
  <c r="Y15" i="13"/>
  <c r="S3" i="14"/>
  <c r="Q6" i="14"/>
  <c r="E15" i="14"/>
  <c r="D2" i="15"/>
  <c r="M3" i="15"/>
  <c r="F7" i="15"/>
  <c r="O8" i="15"/>
  <c r="G15" i="15"/>
  <c r="C15" i="15"/>
  <c r="AA15" i="15"/>
  <c r="V15" i="15"/>
  <c r="U15" i="15"/>
  <c r="H17" i="16"/>
  <c r="U7" i="17"/>
  <c r="I3" i="18"/>
  <c r="W17" i="18"/>
  <c r="O3" i="19"/>
  <c r="I3" i="19"/>
  <c r="H3" i="19"/>
  <c r="G3" i="19"/>
  <c r="E3" i="19"/>
  <c r="D3" i="19"/>
  <c r="AB3" i="19"/>
  <c r="C3" i="19"/>
  <c r="Y3" i="19"/>
  <c r="W3" i="19"/>
  <c r="V3" i="19"/>
  <c r="U3" i="19"/>
  <c r="T3" i="19"/>
  <c r="S3" i="19"/>
  <c r="R3" i="19"/>
  <c r="P3" i="19"/>
  <c r="N3" i="19"/>
  <c r="M3" i="19"/>
  <c r="R17" i="6"/>
  <c r="J12" i="6"/>
  <c r="O6" i="14"/>
  <c r="AA14" i="7"/>
  <c r="U17" i="7"/>
  <c r="M12" i="11"/>
  <c r="I12" i="11"/>
  <c r="Y12" i="11"/>
  <c r="X12" i="11"/>
  <c r="AB7" i="13"/>
  <c r="P6" i="14"/>
  <c r="E7" i="15"/>
  <c r="M3" i="5"/>
  <c r="K15" i="5"/>
  <c r="L17" i="5"/>
  <c r="AB2" i="6"/>
  <c r="P12" i="6"/>
  <c r="U14" i="6"/>
  <c r="X14" i="6"/>
  <c r="W14" i="6"/>
  <c r="W17" i="6"/>
  <c r="E7" i="7"/>
  <c r="E8" i="7"/>
  <c r="V13" i="7"/>
  <c r="X15" i="7"/>
  <c r="S15" i="7"/>
  <c r="R15" i="7"/>
  <c r="N15" i="7"/>
  <c r="AB15" i="7"/>
  <c r="Z17" i="7"/>
  <c r="U2" i="8"/>
  <c r="T7" i="8"/>
  <c r="Y12" i="8"/>
  <c r="AA14" i="8"/>
  <c r="AA3" i="9"/>
  <c r="T8" i="9"/>
  <c r="AB12" i="9"/>
  <c r="P14" i="9"/>
  <c r="R17" i="9"/>
  <c r="G2" i="10"/>
  <c r="K8" i="10"/>
  <c r="O7" i="11"/>
  <c r="E12" i="11"/>
  <c r="Y15" i="12"/>
  <c r="X2" i="13"/>
  <c r="M12" i="13"/>
  <c r="K14" i="13"/>
  <c r="Z15" i="13"/>
  <c r="V3" i="14"/>
  <c r="R6" i="14"/>
  <c r="F15" i="14"/>
  <c r="E2" i="15"/>
  <c r="N3" i="15"/>
  <c r="H7" i="15"/>
  <c r="R8" i="15"/>
  <c r="E15" i="15"/>
  <c r="AB2" i="16"/>
  <c r="Y2" i="16"/>
  <c r="X2" i="16"/>
  <c r="W2" i="16"/>
  <c r="U2" i="16"/>
  <c r="P2" i="16"/>
  <c r="K2" i="16"/>
  <c r="R17" i="16"/>
  <c r="Y7" i="17"/>
  <c r="J3" i="18"/>
  <c r="F3" i="19"/>
  <c r="X15" i="10"/>
  <c r="E15" i="10"/>
  <c r="D15" i="10"/>
  <c r="Z15" i="10"/>
  <c r="Y15" i="10"/>
  <c r="X3" i="7"/>
  <c r="V3" i="7"/>
  <c r="U3" i="7"/>
  <c r="X14" i="10"/>
  <c r="I14" i="10"/>
  <c r="H14" i="10"/>
  <c r="AB14" i="10"/>
  <c r="E14" i="10"/>
  <c r="AA14" i="10"/>
  <c r="D14" i="10"/>
  <c r="F15" i="10"/>
  <c r="L15" i="5"/>
  <c r="R12" i="6"/>
  <c r="X17" i="6"/>
  <c r="J3" i="7"/>
  <c r="F7" i="7"/>
  <c r="F8" i="7"/>
  <c r="AA17" i="7"/>
  <c r="V2" i="8"/>
  <c r="Y7" i="8"/>
  <c r="AB14" i="8"/>
  <c r="H2" i="10"/>
  <c r="AB8" i="10"/>
  <c r="J14" i="10"/>
  <c r="K15" i="10"/>
  <c r="P7" i="11"/>
  <c r="F12" i="11"/>
  <c r="L14" i="12"/>
  <c r="Y14" i="12"/>
  <c r="X14" i="12"/>
  <c r="Z15" i="12"/>
  <c r="Y2" i="13"/>
  <c r="AB6" i="13"/>
  <c r="AA6" i="13"/>
  <c r="Z6" i="13"/>
  <c r="P6" i="13"/>
  <c r="K6" i="13"/>
  <c r="J6" i="13"/>
  <c r="O12" i="13"/>
  <c r="L14" i="13"/>
  <c r="AA15" i="13"/>
  <c r="Q2" i="14"/>
  <c r="G2" i="14"/>
  <c r="AB2" i="14"/>
  <c r="AA2" i="14"/>
  <c r="Z2" i="14"/>
  <c r="Y2" i="14"/>
  <c r="U2" i="14"/>
  <c r="R2" i="14"/>
  <c r="W3" i="14"/>
  <c r="T6" i="14"/>
  <c r="K15" i="14"/>
  <c r="F2" i="15"/>
  <c r="U3" i="15"/>
  <c r="I7" i="15"/>
  <c r="Z8" i="15"/>
  <c r="V17" i="16"/>
  <c r="Z7" i="17"/>
  <c r="P3" i="18"/>
  <c r="J3" i="19"/>
  <c r="I6" i="11"/>
  <c r="L6" i="17"/>
  <c r="Q12" i="17"/>
  <c r="Z12" i="18"/>
  <c r="J15" i="18"/>
  <c r="M2" i="19"/>
  <c r="O6" i="19"/>
  <c r="N8" i="19"/>
  <c r="E12" i="19"/>
  <c r="L13" i="19"/>
  <c r="U14" i="19"/>
  <c r="J6" i="11"/>
  <c r="Q8" i="12"/>
  <c r="C14" i="16"/>
  <c r="M6" i="17"/>
  <c r="K15" i="18"/>
  <c r="N2" i="19"/>
  <c r="R6" i="19"/>
  <c r="O8" i="19"/>
  <c r="F12" i="19"/>
  <c r="M13" i="19"/>
  <c r="V14" i="19"/>
  <c r="Q6" i="17"/>
  <c r="M15" i="18"/>
  <c r="O2" i="19"/>
  <c r="W6" i="19"/>
  <c r="P8" i="19"/>
  <c r="G12" i="19"/>
  <c r="O13" i="19"/>
  <c r="AB14" i="19"/>
  <c r="Q8" i="19"/>
  <c r="H12" i="19"/>
  <c r="P13" i="19"/>
  <c r="E3" i="8"/>
  <c r="O6" i="11"/>
  <c r="U8" i="12"/>
  <c r="Z12" i="15"/>
  <c r="Z13" i="15"/>
  <c r="F6" i="16"/>
  <c r="J14" i="16"/>
  <c r="H8" i="17"/>
  <c r="U12" i="17"/>
  <c r="H15" i="17"/>
  <c r="L17" i="17"/>
  <c r="I6" i="18"/>
  <c r="H13" i="18"/>
  <c r="S15" i="18"/>
  <c r="R2" i="19"/>
  <c r="C7" i="19"/>
  <c r="R8" i="19"/>
  <c r="I12" i="19"/>
  <c r="Q13" i="19"/>
  <c r="C15" i="19"/>
  <c r="G3" i="8"/>
  <c r="P6" i="11"/>
  <c r="V8" i="12"/>
  <c r="AA12" i="15"/>
  <c r="AA13" i="15"/>
  <c r="G6" i="16"/>
  <c r="Y14" i="16"/>
  <c r="J8" i="17"/>
  <c r="V12" i="17"/>
  <c r="I15" i="17"/>
  <c r="M17" i="17"/>
  <c r="J6" i="18"/>
  <c r="P13" i="18"/>
  <c r="W15" i="18"/>
  <c r="S2" i="19"/>
  <c r="F7" i="19"/>
  <c r="S8" i="19"/>
  <c r="J12" i="19"/>
  <c r="T13" i="19"/>
  <c r="E15" i="19"/>
  <c r="AB13" i="15"/>
  <c r="H6" i="16"/>
  <c r="N8" i="17"/>
  <c r="W12" i="17"/>
  <c r="N15" i="17"/>
  <c r="O17" i="17"/>
  <c r="K6" i="18"/>
  <c r="X15" i="18"/>
  <c r="U2" i="19"/>
  <c r="G7" i="19"/>
  <c r="T8" i="19"/>
  <c r="L12" i="19"/>
  <c r="V13" i="19"/>
  <c r="F15" i="19"/>
  <c r="I6" i="16"/>
  <c r="O8" i="17"/>
  <c r="Y12" i="17"/>
  <c r="Q17" i="17"/>
  <c r="O6" i="18"/>
  <c r="Y15" i="18"/>
  <c r="V2" i="19"/>
  <c r="H7" i="19"/>
  <c r="V8" i="19"/>
  <c r="P12" i="19"/>
  <c r="W13" i="19"/>
  <c r="G15" i="19"/>
  <c r="Z15" i="18"/>
  <c r="L7" i="19"/>
  <c r="W8" i="19"/>
  <c r="Q12" i="19"/>
  <c r="Y13" i="19"/>
  <c r="K6" i="16"/>
  <c r="Q8" i="17"/>
  <c r="AB12" i="17"/>
  <c r="U17" i="17"/>
  <c r="Q6" i="18"/>
  <c r="L14" i="18"/>
  <c r="AA15" i="18"/>
  <c r="X2" i="19"/>
  <c r="M7" i="19"/>
  <c r="Y8" i="19"/>
  <c r="R12" i="19"/>
  <c r="Z13" i="19"/>
  <c r="L15" i="19"/>
  <c r="C17" i="19"/>
  <c r="W17" i="17"/>
  <c r="W6" i="18"/>
  <c r="Q14" i="18"/>
  <c r="AB15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K12" i="15"/>
  <c r="S3" i="16"/>
  <c r="O6" i="16"/>
  <c r="K12" i="16"/>
  <c r="U8" i="17"/>
  <c r="E12" i="17"/>
  <c r="N13" i="17"/>
  <c r="Z17" i="17"/>
  <c r="V14" i="18"/>
  <c r="C8" i="19"/>
  <c r="Y12" i="19"/>
  <c r="G14" i="19"/>
  <c r="Q15" i="19"/>
  <c r="M17" i="19"/>
  <c r="T3" i="16"/>
  <c r="Q6" i="16"/>
  <c r="W12" i="16"/>
  <c r="X14" i="18"/>
  <c r="D8" i="19"/>
  <c r="AA12" i="19"/>
  <c r="H14" i="19"/>
  <c r="W15" i="19"/>
  <c r="O17" i="19"/>
  <c r="W3" i="16"/>
  <c r="S6" i="16"/>
  <c r="X12" i="16"/>
  <c r="E8" i="19"/>
  <c r="AB12" i="19"/>
  <c r="J14" i="19"/>
  <c r="Y15" i="19"/>
  <c r="Q17" i="19"/>
  <c r="F8" i="19"/>
  <c r="K14" i="19"/>
  <c r="AA15" i="19"/>
  <c r="R17" i="19"/>
  <c r="O12" i="15"/>
  <c r="V6" i="16"/>
  <c r="AA8" i="17"/>
  <c r="I12" i="17"/>
  <c r="E6" i="19"/>
  <c r="G8" i="19"/>
  <c r="C13" i="19"/>
  <c r="L14" i="19"/>
  <c r="AB15" i="19"/>
  <c r="V17" i="19"/>
  <c r="G6" i="19"/>
  <c r="H8" i="19"/>
  <c r="D13" i="19"/>
  <c r="O14" i="19"/>
  <c r="Y17" i="19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<sst xmlns="http://schemas.openxmlformats.org/spreadsheetml/2006/main" count="3113" uniqueCount="587">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</sst>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61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FL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6.0035684737439803E-2</v>
      </c>
      <c r="C2" s="7">
        <f>$B2 * IFERROR(VLOOKUP("transport|PM25|Premature mortality", US_national_yearly!$D:$AM, 11, FALSE) / VLOOKUP("transport|PM25|Premature mortality", US_national_yearly!$D:$AM, 10, FALSE), 1)</f>
        <v>6.0779995660813414E-2</v>
      </c>
      <c r="D2" s="7">
        <f>$B2 * IFERROR(VLOOKUP("transport|PM25|Premature mortality", US_national_yearly!$D:$AM, 12, FALSE) / VLOOKUP("transport|PM25|Premature mortality", US_national_yearly!$D:$AM, 10, FALSE), 1)</f>
        <v>6.1524306584187012E-2</v>
      </c>
      <c r="E2" s="7">
        <f>$B2 * IFERROR(VLOOKUP("transport|PM25|Premature mortality", US_national_yearly!$D:$AM, 13, FALSE) / VLOOKUP("transport|PM25|Premature mortality", US_national_yearly!$D:$AM, 10, FALSE), 1)</f>
        <v>6.226861750756061E-2</v>
      </c>
      <c r="F2" s="7">
        <f>$B2 * IFERROR(VLOOKUP("transport|PM25|Premature mortality", US_national_yearly!$D:$AM, 14, FALSE) / VLOOKUP("transport|PM25|Premature mortality", US_national_yearly!$D:$AM, 10, FALSE), 1)</f>
        <v>6.3012928430934201E-2</v>
      </c>
      <c r="G2" s="7">
        <f>$B2 * IFERROR(VLOOKUP("transport|PM25|Premature mortality", US_national_yearly!$D:$AM, 15, FALSE) / VLOOKUP("transport|PM25|Premature mortality", US_national_yearly!$D:$AM, 10, FALSE), 1)</f>
        <v>6.4462468340744192E-2</v>
      </c>
      <c r="H2" s="7">
        <f>$B2 * IFERROR(VLOOKUP("transport|PM25|Premature mortality", US_national_yearly!$D:$AM, 16, FALSE) / VLOOKUP("transport|PM25|Premature mortality", US_national_yearly!$D:$AM, 10, FALSE), 1)</f>
        <v>6.5912008250554169E-2</v>
      </c>
      <c r="I2" s="7">
        <f>$B2 * IFERROR(VLOOKUP("transport|PM25|Premature mortality", US_national_yearly!$D:$AM, 17, FALSE) / VLOOKUP("transport|PM25|Premature mortality", US_national_yearly!$D:$AM, 10, FALSE), 1)</f>
        <v>6.6864127081896194E-2</v>
      </c>
      <c r="J2" s="7">
        <f>$B2 * IFERROR(VLOOKUP("transport|PM25|Premature mortality", US_national_yearly!$D:$AM, 18, FALSE) / VLOOKUP("transport|PM25|Premature mortality", US_national_yearly!$D:$AM, 10, FALSE), 1)</f>
        <v>6.7816245913238232E-2</v>
      </c>
      <c r="K2" s="7">
        <f>$B2 * IFERROR(VLOOKUP("transport|PM25|Premature mortality", US_national_yearly!$D:$AM, 19, FALSE) / VLOOKUP("transport|PM25|Premature mortality", US_national_yearly!$D:$AM, 10, FALSE), 1)</f>
        <v>6.8768364744580257E-2</v>
      </c>
      <c r="L2" s="7">
        <f>$B2 * IFERROR(VLOOKUP("transport|PM25|Premature mortality", US_national_yearly!$D:$AM, 20, FALSE) / VLOOKUP("transport|PM25|Premature mortality", US_national_yearly!$D:$AM, 10, FALSE), 1)</f>
        <v>6.9720483575922296E-2</v>
      </c>
      <c r="M2" s="7">
        <f>$B2 * IFERROR(VLOOKUP("transport|PM25|Premature mortality", US_national_yearly!$D:$AM, 21, FALSE) / VLOOKUP("transport|PM25|Premature mortality", US_national_yearly!$D:$AM, 10, FALSE), 1)</f>
        <v>7.0672602407264321E-2</v>
      </c>
      <c r="N2" s="7">
        <f>$B2 * IFERROR(VLOOKUP("transport|PM25|Premature mortality", US_national_yearly!$D:$AM, 22, FALSE) / VLOOKUP("transport|PM25|Premature mortality", US_national_yearly!$D:$AM, 10, FALSE), 1)</f>
        <v>7.1411862083112981E-2</v>
      </c>
      <c r="O2" s="7">
        <f>$B2 * IFERROR(VLOOKUP("transport|PM25|Premature mortality", US_national_yearly!$D:$AM, 23, FALSE) / VLOOKUP("transport|PM25|Premature mortality", US_national_yearly!$D:$AM, 10, FALSE), 1)</f>
        <v>7.2151121758961656E-2</v>
      </c>
      <c r="P2" s="7">
        <f>$B2 * IFERROR(VLOOKUP("transport|PM25|Premature mortality", US_national_yearly!$D:$AM, 24, FALSE) / VLOOKUP("transport|PM25|Premature mortality", US_national_yearly!$D:$AM, 10, FALSE), 1)</f>
        <v>7.2890381434810317E-2</v>
      </c>
      <c r="Q2" s="7">
        <f>$B2 * IFERROR(VLOOKUP("transport|PM25|Premature mortality", US_national_yearly!$D:$AM, 25, FALSE) / VLOOKUP("transport|PM25|Premature mortality", US_national_yearly!$D:$AM, 10, FALSE), 1)</f>
        <v>7.3629641110658978E-2</v>
      </c>
      <c r="R2" s="7">
        <f>$B2 * IFERROR(VLOOKUP("transport|PM25|Premature mortality", US_national_yearly!$D:$AM, 26, FALSE) / VLOOKUP("transport|PM25|Premature mortality", US_national_yearly!$D:$AM, 10, FALSE), 1)</f>
        <v>7.4368900786507652E-2</v>
      </c>
      <c r="S2" s="7">
        <f>$B2 * IFERROR(VLOOKUP("transport|PM25|Premature mortality", US_national_yearly!$D:$AM, 27, FALSE) / VLOOKUP("transport|PM25|Premature mortality", US_national_yearly!$D:$AM, 10, FALSE), 1)</f>
        <v>7.4760538598635226E-2</v>
      </c>
      <c r="T2" s="7">
        <f>$B2 * IFERROR(VLOOKUP("transport|PM25|Premature mortality", US_national_yearly!$D:$AM, 28, FALSE) / VLOOKUP("transport|PM25|Premature mortality", US_national_yearly!$D:$AM, 10, FALSE), 1)</f>
        <v>7.5152176410762786E-2</v>
      </c>
      <c r="U2" s="7">
        <f>$B2 * IFERROR(VLOOKUP("transport|PM25|Premature mortality", US_national_yearly!$D:$AM, 29, FALSE) / VLOOKUP("transport|PM25|Premature mortality", US_national_yearly!$D:$AM, 10, FALSE), 1)</f>
        <v>7.5543814222890346E-2</v>
      </c>
      <c r="V2" s="7">
        <f>$B2 * IFERROR(VLOOKUP("transport|PM25|Premature mortality", US_national_yearly!$D:$AM, 30, FALSE) / VLOOKUP("transport|PM25|Premature mortality", US_national_yearly!$D:$AM, 10, FALSE), 1)</f>
        <v>7.5935452035017906E-2</v>
      </c>
      <c r="W2" s="7">
        <f>$B2 * IFERROR(VLOOKUP("transport|PM25|Premature mortality", US_national_yearly!$D:$AM, 31, FALSE) / VLOOKUP("transport|PM25|Premature mortality", US_national_yearly!$D:$AM, 10, FALSE), 1)</f>
        <v>7.6327089847145466E-2</v>
      </c>
      <c r="X2" s="7">
        <f>$B2 * IFERROR(VLOOKUP("transport|PM25|Premature mortality", US_national_yearly!$D:$AM, 32, FALSE) / VLOOKUP("transport|PM25|Premature mortality", US_national_yearly!$D:$AM, 10, FALSE), 1)</f>
        <v>7.6395570748124308E-2</v>
      </c>
      <c r="Y2" s="7">
        <f>$B2 * IFERROR(VLOOKUP("transport|PM25|Premature mortality", US_national_yearly!$D:$AM, 33, FALSE) / VLOOKUP("transport|PM25|Premature mortality", US_national_yearly!$D:$AM, 10, FALSE), 1)</f>
        <v>7.6464051649103179E-2</v>
      </c>
      <c r="Z2" s="7">
        <f>$B2 * IFERROR(VLOOKUP("transport|PM25|Premature mortality", US_national_yearly!$D:$AM, 34, FALSE) / VLOOKUP("transport|PM25|Premature mortality", US_national_yearly!$D:$AM, 10, FALSE), 1)</f>
        <v>7.6532532550082022E-2</v>
      </c>
      <c r="AA2" s="7">
        <f>$B2 * IFERROR(VLOOKUP("transport|PM25|Premature mortality", US_national_yearly!$D:$AM, 35, FALSE) / VLOOKUP("transport|PM25|Premature mortality", US_national_yearly!$D:$AM, 10, FALSE), 1)</f>
        <v>7.6601013451060893E-2</v>
      </c>
      <c r="AB2" s="7">
        <f>$B2 * IFERROR(VLOOKUP("transport|PM25|Premature mortality", US_national_yearly!$D:$AM, 36, FALSE) / VLOOKUP("transport|PM25|Premature mortality", US_national_yearly!$D:$AM, 10, FALSE), 1)</f>
        <v>7.6669494352039735E-2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1.1385544724843389E-4</v>
      </c>
      <c r="C3" s="7">
        <f>$B3 * IFERROR(VLOOKUP("transport|PM25|Infant mortality", US_national_yearly!$D:$AM, 11, FALSE) / VLOOKUP("transport|PM25|Infant mortality", US_national_yearly!$D:$AM, 10, FALSE), 1)</f>
        <v>1.1286273164226369E-4</v>
      </c>
      <c r="D3" s="7">
        <f>$B3 * IFERROR(VLOOKUP("transport|PM25|Infant mortality", US_national_yearly!$D:$AM, 12, FALSE) / VLOOKUP("transport|PM25|Infant mortality", US_national_yearly!$D:$AM, 10, FALSE), 1)</f>
        <v>1.1187001603609349E-4</v>
      </c>
      <c r="E3" s="7">
        <f>$B3 * IFERROR(VLOOKUP("transport|PM25|Infant mortality", US_national_yearly!$D:$AM, 13, FALSE) / VLOOKUP("transport|PM25|Infant mortality", US_national_yearly!$D:$AM, 10, FALSE), 1)</f>
        <v>1.1087730042992329E-4</v>
      </c>
      <c r="F3" s="7">
        <f>$B3 * IFERROR(VLOOKUP("transport|PM25|Infant mortality", US_national_yearly!$D:$AM, 14, FALSE) / VLOOKUP("transport|PM25|Infant mortality", US_national_yearly!$D:$AM, 10, FALSE), 1)</f>
        <v>1.0988458482375308E-4</v>
      </c>
      <c r="G3" s="7">
        <f>$B3 * IFERROR(VLOOKUP("transport|PM25|Infant mortality", US_national_yearly!$D:$AM, 15, FALSE) / VLOOKUP("transport|PM25|Infant mortality", US_national_yearly!$D:$AM, 10, FALSE), 1)</f>
        <v>7.3079126849181491E-5</v>
      </c>
      <c r="H3" s="7">
        <f>$B3 * IFERROR(VLOOKUP("transport|PM25|Infant mortality", US_national_yearly!$D:$AM, 16, FALSE) / VLOOKUP("transport|PM25|Infant mortality", US_national_yearly!$D:$AM, 10, FALSE), 1)</f>
        <v>3.6273668874609884E-5</v>
      </c>
      <c r="I3" s="7">
        <f>$B3 * IFERROR(VLOOKUP("transport|PM25|Infant mortality", US_national_yearly!$D:$AM, 17, FALSE) / VLOOKUP("transport|PM25|Infant mortality", US_national_yearly!$D:$AM, 10, FALSE), 1)</f>
        <v>3.6036560529756886E-5</v>
      </c>
      <c r="J3" s="7">
        <f>$B3 * IFERROR(VLOOKUP("transport|PM25|Infant mortality", US_national_yearly!$D:$AM, 18, FALSE) / VLOOKUP("transport|PM25|Infant mortality", US_national_yearly!$D:$AM, 10, FALSE), 1)</f>
        <v>3.5799452184903881E-5</v>
      </c>
      <c r="K3" s="7">
        <f>$B3 * IFERROR(VLOOKUP("transport|PM25|Infant mortality", US_national_yearly!$D:$AM, 19, FALSE) / VLOOKUP("transport|PM25|Infant mortality", US_national_yearly!$D:$AM, 10, FALSE), 1)</f>
        <v>3.5562343840050883E-5</v>
      </c>
      <c r="L3" s="7">
        <f>$B3 * IFERROR(VLOOKUP("transport|PM25|Infant mortality", US_national_yearly!$D:$AM, 20, FALSE) / VLOOKUP("transport|PM25|Infant mortality", US_national_yearly!$D:$AM, 10, FALSE), 1)</f>
        <v>3.5325235495197885E-5</v>
      </c>
      <c r="M3" s="7">
        <f>$B3 * IFERROR(VLOOKUP("transport|PM25|Infant mortality", US_national_yearly!$D:$AM, 21, FALSE) / VLOOKUP("transport|PM25|Infant mortality", US_national_yearly!$D:$AM, 10, FALSE), 1)</f>
        <v>3.5088127150344886E-5</v>
      </c>
      <c r="N3" s="7">
        <f>$B3 * IFERROR(VLOOKUP("transport|PM25|Infant mortality", US_national_yearly!$D:$AM, 22, FALSE) / VLOOKUP("transport|PM25|Infant mortality", US_national_yearly!$D:$AM, 10, FALSE), 1)</f>
        <v>3.493919685931969E-5</v>
      </c>
      <c r="O3" s="7">
        <f>$B3 * IFERROR(VLOOKUP("transport|PM25|Infant mortality", US_national_yearly!$D:$AM, 23, FALSE) / VLOOKUP("transport|PM25|Infant mortality", US_national_yearly!$D:$AM, 10, FALSE), 1)</f>
        <v>3.4790266568294494E-5</v>
      </c>
      <c r="P3" s="7">
        <f>$B3 * IFERROR(VLOOKUP("transport|PM25|Infant mortality", US_national_yearly!$D:$AM, 24, FALSE) / VLOOKUP("transport|PM25|Infant mortality", US_national_yearly!$D:$AM, 10, FALSE), 1)</f>
        <v>3.4641336277269291E-5</v>
      </c>
      <c r="Q3" s="7">
        <f>$B3 * IFERROR(VLOOKUP("transport|PM25|Infant mortality", US_national_yearly!$D:$AM, 25, FALSE) / VLOOKUP("transport|PM25|Infant mortality", US_national_yearly!$D:$AM, 10, FALSE), 1)</f>
        <v>3.4492405986244102E-5</v>
      </c>
      <c r="R3" s="7">
        <f>$B3 * IFERROR(VLOOKUP("transport|PM25|Infant mortality", US_national_yearly!$D:$AM, 26, FALSE) / VLOOKUP("transport|PM25|Infant mortality", US_national_yearly!$D:$AM, 10, FALSE), 1)</f>
        <v>3.4343475695218906E-5</v>
      </c>
      <c r="S3" s="7">
        <f>$B3 * IFERROR(VLOOKUP("transport|PM25|Infant mortality", US_national_yearly!$D:$AM, 27, FALSE) / VLOOKUP("transport|PM25|Infant mortality", US_national_yearly!$D:$AM, 10, FALSE), 1)</f>
        <v>3.4157831042338113E-5</v>
      </c>
      <c r="T3" s="7">
        <f>$B3 * IFERROR(VLOOKUP("transport|PM25|Infant mortality", US_national_yearly!$D:$AM, 28, FALSE) / VLOOKUP("transport|PM25|Infant mortality", US_national_yearly!$D:$AM, 10, FALSE), 1)</f>
        <v>3.3972186389457314E-5</v>
      </c>
      <c r="U3" s="7">
        <f>$B3 * IFERROR(VLOOKUP("transport|PM25|Infant mortality", US_national_yearly!$D:$AM, 29, FALSE) / VLOOKUP("transport|PM25|Infant mortality", US_national_yearly!$D:$AM, 10, FALSE), 1)</f>
        <v>3.3786541736576522E-5</v>
      </c>
      <c r="V3" s="7">
        <f>$B3 * IFERROR(VLOOKUP("transport|PM25|Infant mortality", US_national_yearly!$D:$AM, 30, FALSE) / VLOOKUP("transport|PM25|Infant mortality", US_national_yearly!$D:$AM, 10, FALSE), 1)</f>
        <v>3.3600897083695736E-5</v>
      </c>
      <c r="W3" s="7">
        <f>$B3 * IFERROR(VLOOKUP("transport|PM25|Infant mortality", US_national_yearly!$D:$AM, 31, FALSE) / VLOOKUP("transport|PM25|Infant mortality", US_national_yearly!$D:$AM, 10, FALSE), 1)</f>
        <v>3.3415252430814937E-5</v>
      </c>
      <c r="X3" s="7">
        <f>$B3 * IFERROR(VLOOKUP("transport|PM25|Infant mortality", US_national_yearly!$D:$AM, 32, FALSE) / VLOOKUP("transport|PM25|Infant mortality", US_national_yearly!$D:$AM, 10, FALSE), 1)</f>
        <v>3.3215104161924494E-5</v>
      </c>
      <c r="Y3" s="7">
        <f>$B3 * IFERROR(VLOOKUP("transport|PM25|Infant mortality", US_national_yearly!$D:$AM, 33, FALSE) / VLOOKUP("transport|PM25|Infant mortality", US_national_yearly!$D:$AM, 10, FALSE), 1)</f>
        <v>3.3014955893034045E-5</v>
      </c>
      <c r="Z3" s="7">
        <f>$B3 * IFERROR(VLOOKUP("transport|PM25|Infant mortality", US_national_yearly!$D:$AM, 34, FALSE) / VLOOKUP("transport|PM25|Infant mortality", US_national_yearly!$D:$AM, 10, FALSE), 1)</f>
        <v>3.2814807624143609E-5</v>
      </c>
      <c r="AA3" s="7">
        <f>$B3 * IFERROR(VLOOKUP("transport|PM25|Infant mortality", US_national_yearly!$D:$AM, 35, FALSE) / VLOOKUP("transport|PM25|Infant mortality", US_national_yearly!$D:$AM, 10, FALSE), 1)</f>
        <v>3.2614659355253159E-5</v>
      </c>
      <c r="AB3" s="7">
        <f>$B3 * IFERROR(VLOOKUP("transport|PM25|Infant mortality", US_national_yearly!$D:$AM, 36, FALSE) / VLOOKUP("transport|PM25|Infant mortality", US_national_yearly!$D:$AM, 10, FALSE), 1)</f>
        <v>3.2414511086362723E-5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0.12344800449790228</v>
      </c>
      <c r="C6" s="7">
        <f>$B6 * IFERROR(VLOOKUP("transport|PM25|Asthma symptoms cough", US_national_yearly!$D:$AM, 11, FALSE) / VLOOKUP("transport|PM25|Asthma symptoms cough", US_national_yearly!$D:$AM, 10, FALSE), 1)</f>
        <v>0.12344800449790228</v>
      </c>
      <c r="D6" s="7">
        <f>$B6 * IFERROR(VLOOKUP("transport|PM25|Asthma symptoms cough", US_national_yearly!$D:$AM, 12, FALSE) / VLOOKUP("transport|PM25|Asthma symptoms cough", US_national_yearly!$D:$AM, 10, FALSE), 1)</f>
        <v>0.12344800449790228</v>
      </c>
      <c r="E6" s="7">
        <f>$B6 * IFERROR(VLOOKUP("transport|PM25|Asthma symptoms cough", US_national_yearly!$D:$AM, 13, FALSE) / VLOOKUP("transport|PM25|Asthma symptoms cough", US_national_yearly!$D:$AM, 10, FALSE), 1)</f>
        <v>0.12344800449790228</v>
      </c>
      <c r="F6" s="7">
        <f>$B6 * IFERROR(VLOOKUP("transport|PM25|Asthma symptoms cough", US_national_yearly!$D:$AM, 14, FALSE) / VLOOKUP("transport|PM25|Asthma symptoms cough", US_national_yearly!$D:$AM, 10, FALSE), 1)</f>
        <v>0.12344800449790228</v>
      </c>
      <c r="G6" s="7">
        <f>$B6 * IFERROR(VLOOKUP("transport|PM25|Asthma symptoms cough", US_national_yearly!$D:$AM, 15, FALSE) / VLOOKUP("transport|PM25|Asthma symptoms cough", US_national_yearly!$D:$AM, 10, FALSE), 1)</f>
        <v>0.12344800449790228</v>
      </c>
      <c r="H6" s="7">
        <f>$B6 * IFERROR(VLOOKUP("transport|PM25|Asthma symptoms cough", US_national_yearly!$D:$AM, 16, FALSE) / VLOOKUP("transport|PM25|Asthma symptoms cough", US_national_yearly!$D:$AM, 10, FALSE), 1)</f>
        <v>0.12344800449790228</v>
      </c>
      <c r="I6" s="7">
        <f>$B6 * IFERROR(VLOOKUP("transport|PM25|Asthma symptoms cough", US_national_yearly!$D:$AM, 17, FALSE) / VLOOKUP("transport|PM25|Asthma symptoms cough", US_national_yearly!$D:$AM, 10, FALSE), 1)</f>
        <v>0.12344800449790228</v>
      </c>
      <c r="J6" s="7">
        <f>$B6 * IFERROR(VLOOKUP("transport|PM25|Asthma symptoms cough", US_national_yearly!$D:$AM, 18, FALSE) / VLOOKUP("transport|PM25|Asthma symptoms cough", US_national_yearly!$D:$AM, 10, FALSE), 1)</f>
        <v>0.12344800449790228</v>
      </c>
      <c r="K6" s="7">
        <f>$B6 * IFERROR(VLOOKUP("transport|PM25|Asthma symptoms cough", US_national_yearly!$D:$AM, 19, FALSE) / VLOOKUP("transport|PM25|Asthma symptoms cough", US_national_yearly!$D:$AM, 10, FALSE), 1)</f>
        <v>0.12344800449790228</v>
      </c>
      <c r="L6" s="7">
        <f>$B6 * IFERROR(VLOOKUP("transport|PM25|Asthma symptoms cough", US_national_yearly!$D:$AM, 20, FALSE) / VLOOKUP("transport|PM25|Asthma symptoms cough", US_national_yearly!$D:$AM, 10, FALSE), 1)</f>
        <v>0.12344800449790228</v>
      </c>
      <c r="M6" s="7">
        <f>$B6 * IFERROR(VLOOKUP("transport|PM25|Asthma symptoms cough", US_national_yearly!$D:$AM, 21, FALSE) / VLOOKUP("transport|PM25|Asthma symptoms cough", US_national_yearly!$D:$AM, 10, FALSE), 1)</f>
        <v>0.12344800449790228</v>
      </c>
      <c r="N6" s="7">
        <f>$B6 * IFERROR(VLOOKUP("transport|PM25|Asthma symptoms cough", US_national_yearly!$D:$AM, 22, FALSE) / VLOOKUP("transport|PM25|Asthma symptoms cough", US_national_yearly!$D:$AM, 10, FALSE), 1)</f>
        <v>0.12344800449790228</v>
      </c>
      <c r="O6" s="7">
        <f>$B6 * IFERROR(VLOOKUP("transport|PM25|Asthma symptoms cough", US_national_yearly!$D:$AM, 23, FALSE) / VLOOKUP("transport|PM25|Asthma symptoms cough", US_national_yearly!$D:$AM, 10, FALSE), 1)</f>
        <v>0.12344800449790228</v>
      </c>
      <c r="P6" s="7">
        <f>$B6 * IFERROR(VLOOKUP("transport|PM25|Asthma symptoms cough", US_national_yearly!$D:$AM, 24, FALSE) / VLOOKUP("transport|PM25|Asthma symptoms cough", US_national_yearly!$D:$AM, 10, FALSE), 1)</f>
        <v>0.12344800449790228</v>
      </c>
      <c r="Q6" s="7">
        <f>$B6 * IFERROR(VLOOKUP("transport|PM25|Asthma symptoms cough", US_national_yearly!$D:$AM, 25, FALSE) / VLOOKUP("transport|PM25|Asthma symptoms cough", US_national_yearly!$D:$AM, 10, FALSE), 1)</f>
        <v>0.12344800449790228</v>
      </c>
      <c r="R6" s="7">
        <f>$B6 * IFERROR(VLOOKUP("transport|PM25|Asthma symptoms cough", US_national_yearly!$D:$AM, 26, FALSE) / VLOOKUP("transport|PM25|Asthma symptoms cough", US_national_yearly!$D:$AM, 10, FALSE), 1)</f>
        <v>0.12344800449790228</v>
      </c>
      <c r="S6" s="7">
        <f>$B6 * IFERROR(VLOOKUP("transport|PM25|Asthma symptoms cough", US_national_yearly!$D:$AM, 27, FALSE) / VLOOKUP("transport|PM25|Asthma symptoms cough", US_national_yearly!$D:$AM, 10, FALSE), 1)</f>
        <v>0.12344800449790228</v>
      </c>
      <c r="T6" s="7">
        <f>$B6 * IFERROR(VLOOKUP("transport|PM25|Asthma symptoms cough", US_national_yearly!$D:$AM, 28, FALSE) / VLOOKUP("transport|PM25|Asthma symptoms cough", US_national_yearly!$D:$AM, 10, FALSE), 1)</f>
        <v>0.12344800449790228</v>
      </c>
      <c r="U6" s="7">
        <f>$B6 * IFERROR(VLOOKUP("transport|PM25|Asthma symptoms cough", US_national_yearly!$D:$AM, 29, FALSE) / VLOOKUP("transport|PM25|Asthma symptoms cough", US_national_yearly!$D:$AM, 10, FALSE), 1)</f>
        <v>0.12344800449790228</v>
      </c>
      <c r="V6" s="7">
        <f>$B6 * IFERROR(VLOOKUP("transport|PM25|Asthma symptoms cough", US_national_yearly!$D:$AM, 30, FALSE) / VLOOKUP("transport|PM25|Asthma symptoms cough", US_national_yearly!$D:$AM, 10, FALSE), 1)</f>
        <v>0.12344800449790228</v>
      </c>
      <c r="W6" s="7">
        <f>$B6 * IFERROR(VLOOKUP("transport|PM25|Asthma symptoms cough", US_national_yearly!$D:$AM, 31, FALSE) / VLOOKUP("transport|PM25|Asthma symptoms cough", US_national_yearly!$D:$AM, 10, FALSE), 1)</f>
        <v>0.12344800449790228</v>
      </c>
      <c r="X6" s="7">
        <f>$B6 * IFERROR(VLOOKUP("transport|PM25|Asthma symptoms cough", US_national_yearly!$D:$AM, 32, FALSE) / VLOOKUP("transport|PM25|Asthma symptoms cough", US_national_yearly!$D:$AM, 10, FALSE), 1)</f>
        <v>0.12344800449790228</v>
      </c>
      <c r="Y6" s="7">
        <f>$B6 * IFERROR(VLOOKUP("transport|PM25|Asthma symptoms cough", US_national_yearly!$D:$AM, 33, FALSE) / VLOOKUP("transport|PM25|Asthma symptoms cough", US_national_yearly!$D:$AM, 10, FALSE), 1)</f>
        <v>0.12344800449790228</v>
      </c>
      <c r="Z6" s="7">
        <f>$B6 * IFERROR(VLOOKUP("transport|PM25|Asthma symptoms cough", US_national_yearly!$D:$AM, 34, FALSE) / VLOOKUP("transport|PM25|Asthma symptoms cough", US_national_yearly!$D:$AM, 10, FALSE), 1)</f>
        <v>0.12344800449790228</v>
      </c>
      <c r="AA6" s="7">
        <f>$B6 * IFERROR(VLOOKUP("transport|PM25|Asthma symptoms cough", US_national_yearly!$D:$AM, 35, FALSE) / VLOOKUP("transport|PM25|Asthma symptoms cough", US_national_yearly!$D:$AM, 10, FALSE), 1)</f>
        <v>0.12344800449790228</v>
      </c>
      <c r="AB6" s="7">
        <f>$B6 * IFERROR(VLOOKUP("transport|PM25|Asthma symptoms cough", US_national_yearly!$D:$AM, 36, FALSE) / VLOOKUP("transport|PM25|Asthma symptoms cough", US_national_yearly!$D:$AM, 10, FALSE), 1)</f>
        <v>0.12344800449790228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0.16623437915785386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0.16623437915785386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0.16623437915785386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0.16623437915785386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0.16623437915785386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0.16623437915785386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0.16623437915785386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0.16623437915785386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0.16623437915785386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0.16623437915785386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0.16623437915785386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0.16623437915785386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0.16623437915785386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0.16623437915785386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0.16623437915785386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0.16623437915785386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0.16623437915785386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0.16623437915785386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0.16623437915785386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0.16623437915785386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0.16623437915785386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0.16623437915785386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0.16623437915785386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0.16623437915785386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0.16623437915785386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0.16623437915785386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0.16623437915785386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0.25400031870964523</v>
      </c>
      <c r="C8" s="7">
        <f>$B8 * IFERROR(VLOOKUP("transport|PM25|Asthma symptoms wheeze", US_national_yearly!$D:$AM, 11, FALSE) / VLOOKUP("transport|PM25|Asthma symptoms wheeze", US_national_yearly!$D:$AM, 10, FALSE), 1)</f>
        <v>0.25400031870964523</v>
      </c>
      <c r="D8" s="7">
        <f>$B8 * IFERROR(VLOOKUP("transport|PM25|Asthma symptoms wheeze", US_national_yearly!$D:$AM, 12, FALSE) / VLOOKUP("transport|PM25|Asthma symptoms wheeze", US_national_yearly!$D:$AM, 10, FALSE), 1)</f>
        <v>0.25400031870964523</v>
      </c>
      <c r="E8" s="7">
        <f>$B8 * IFERROR(VLOOKUP("transport|PM25|Asthma symptoms wheeze", US_national_yearly!$D:$AM, 13, FALSE) / VLOOKUP("transport|PM25|Asthma symptoms wheeze", US_national_yearly!$D:$AM, 10, FALSE), 1)</f>
        <v>0.25400031870964523</v>
      </c>
      <c r="F8" s="7">
        <f>$B8 * IFERROR(VLOOKUP("transport|PM25|Asthma symptoms wheeze", US_national_yearly!$D:$AM, 14, FALSE) / VLOOKUP("transport|PM25|Asthma symptoms wheeze", US_national_yearly!$D:$AM, 10, FALSE), 1)</f>
        <v>0.25400031870964523</v>
      </c>
      <c r="G8" s="7">
        <f>$B8 * IFERROR(VLOOKUP("transport|PM25|Asthma symptoms wheeze", US_national_yearly!$D:$AM, 15, FALSE) / VLOOKUP("transport|PM25|Asthma symptoms wheeze", US_national_yearly!$D:$AM, 10, FALSE), 1)</f>
        <v>0.25400031870964523</v>
      </c>
      <c r="H8" s="7">
        <f>$B8 * IFERROR(VLOOKUP("transport|PM25|Asthma symptoms wheeze", US_national_yearly!$D:$AM, 16, FALSE) / VLOOKUP("transport|PM25|Asthma symptoms wheeze", US_national_yearly!$D:$AM, 10, FALSE), 1)</f>
        <v>0.25400031870964523</v>
      </c>
      <c r="I8" s="7">
        <f>$B8 * IFERROR(VLOOKUP("transport|PM25|Asthma symptoms wheeze", US_national_yearly!$D:$AM, 17, FALSE) / VLOOKUP("transport|PM25|Asthma symptoms wheeze", US_national_yearly!$D:$AM, 10, FALSE), 1)</f>
        <v>0.25400031870964523</v>
      </c>
      <c r="J8" s="7">
        <f>$B8 * IFERROR(VLOOKUP("transport|PM25|Asthma symptoms wheeze", US_national_yearly!$D:$AM, 18, FALSE) / VLOOKUP("transport|PM25|Asthma symptoms wheeze", US_national_yearly!$D:$AM, 10, FALSE), 1)</f>
        <v>0.25400031870964523</v>
      </c>
      <c r="K8" s="7">
        <f>$B8 * IFERROR(VLOOKUP("transport|PM25|Asthma symptoms wheeze", US_national_yearly!$D:$AM, 19, FALSE) / VLOOKUP("transport|PM25|Asthma symptoms wheeze", US_national_yearly!$D:$AM, 10, FALSE), 1)</f>
        <v>0.25400031870964523</v>
      </c>
      <c r="L8" s="7">
        <f>$B8 * IFERROR(VLOOKUP("transport|PM25|Asthma symptoms wheeze", US_national_yearly!$D:$AM, 20, FALSE) / VLOOKUP("transport|PM25|Asthma symptoms wheeze", US_national_yearly!$D:$AM, 10, FALSE), 1)</f>
        <v>0.25400031870964523</v>
      </c>
      <c r="M8" s="7">
        <f>$B8 * IFERROR(VLOOKUP("transport|PM25|Asthma symptoms wheeze", US_national_yearly!$D:$AM, 21, FALSE) / VLOOKUP("transport|PM25|Asthma symptoms wheeze", US_national_yearly!$D:$AM, 10, FALSE), 1)</f>
        <v>0.25400031870964523</v>
      </c>
      <c r="N8" s="7">
        <f>$B8 * IFERROR(VLOOKUP("transport|PM25|Asthma symptoms wheeze", US_national_yearly!$D:$AM, 22, FALSE) / VLOOKUP("transport|PM25|Asthma symptoms wheeze", US_national_yearly!$D:$AM, 10, FALSE), 1)</f>
        <v>0.25400031870964523</v>
      </c>
      <c r="O8" s="7">
        <f>$B8 * IFERROR(VLOOKUP("transport|PM25|Asthma symptoms wheeze", US_national_yearly!$D:$AM, 23, FALSE) / VLOOKUP("transport|PM25|Asthma symptoms wheeze", US_national_yearly!$D:$AM, 10, FALSE), 1)</f>
        <v>0.25400031870964523</v>
      </c>
      <c r="P8" s="7">
        <f>$B8 * IFERROR(VLOOKUP("transport|PM25|Asthma symptoms wheeze", US_national_yearly!$D:$AM, 24, FALSE) / VLOOKUP("transport|PM25|Asthma symptoms wheeze", US_national_yearly!$D:$AM, 10, FALSE), 1)</f>
        <v>0.25400031870964523</v>
      </c>
      <c r="Q8" s="7">
        <f>$B8 * IFERROR(VLOOKUP("transport|PM25|Asthma symptoms wheeze", US_national_yearly!$D:$AM, 25, FALSE) / VLOOKUP("transport|PM25|Asthma symptoms wheeze", US_national_yearly!$D:$AM, 10, FALSE), 1)</f>
        <v>0.25400031870964523</v>
      </c>
      <c r="R8" s="7">
        <f>$B8 * IFERROR(VLOOKUP("transport|PM25|Asthma symptoms wheeze", US_national_yearly!$D:$AM, 26, FALSE) / VLOOKUP("transport|PM25|Asthma symptoms wheeze", US_national_yearly!$D:$AM, 10, FALSE), 1)</f>
        <v>0.25400031870964523</v>
      </c>
      <c r="S8" s="7">
        <f>$B8 * IFERROR(VLOOKUP("transport|PM25|Asthma symptoms wheeze", US_national_yearly!$D:$AM, 27, FALSE) / VLOOKUP("transport|PM25|Asthma symptoms wheeze", US_national_yearly!$D:$AM, 10, FALSE), 1)</f>
        <v>0.25400031870964523</v>
      </c>
      <c r="T8" s="7">
        <f>$B8 * IFERROR(VLOOKUP("transport|PM25|Asthma symptoms wheeze", US_national_yearly!$D:$AM, 28, FALSE) / VLOOKUP("transport|PM25|Asthma symptoms wheeze", US_national_yearly!$D:$AM, 10, FALSE), 1)</f>
        <v>0.25400031870964523</v>
      </c>
      <c r="U8" s="7">
        <f>$B8 * IFERROR(VLOOKUP("transport|PM25|Asthma symptoms wheeze", US_national_yearly!$D:$AM, 29, FALSE) / VLOOKUP("transport|PM25|Asthma symptoms wheeze", US_national_yearly!$D:$AM, 10, FALSE), 1)</f>
        <v>0.25400031870964523</v>
      </c>
      <c r="V8" s="7">
        <f>$B8 * IFERROR(VLOOKUP("transport|PM25|Asthma symptoms wheeze", US_national_yearly!$D:$AM, 30, FALSE) / VLOOKUP("transport|PM25|Asthma symptoms wheeze", US_national_yearly!$D:$AM, 10, FALSE), 1)</f>
        <v>0.25400031870964523</v>
      </c>
      <c r="W8" s="7">
        <f>$B8 * IFERROR(VLOOKUP("transport|PM25|Asthma symptoms wheeze", US_national_yearly!$D:$AM, 31, FALSE) / VLOOKUP("transport|PM25|Asthma symptoms wheeze", US_national_yearly!$D:$AM, 10, FALSE), 1)</f>
        <v>0.25400031870964523</v>
      </c>
      <c r="X8" s="7">
        <f>$B8 * IFERROR(VLOOKUP("transport|PM25|Asthma symptoms wheeze", US_national_yearly!$D:$AM, 32, FALSE) / VLOOKUP("transport|PM25|Asthma symptoms wheeze", US_national_yearly!$D:$AM, 10, FALSE), 1)</f>
        <v>0.25400031870964523</v>
      </c>
      <c r="Y8" s="7">
        <f>$B8 * IFERROR(VLOOKUP("transport|PM25|Asthma symptoms wheeze", US_national_yearly!$D:$AM, 33, FALSE) / VLOOKUP("transport|PM25|Asthma symptoms wheeze", US_national_yearly!$D:$AM, 10, FALSE), 1)</f>
        <v>0.25400031870964523</v>
      </c>
      <c r="Z8" s="7">
        <f>$B8 * IFERROR(VLOOKUP("transport|PM25|Asthma symptoms wheeze", US_national_yearly!$D:$AM, 34, FALSE) / VLOOKUP("transport|PM25|Asthma symptoms wheeze", US_national_yearly!$D:$AM, 10, FALSE), 1)</f>
        <v>0.25400031870964523</v>
      </c>
      <c r="AA8" s="7">
        <f>$B8 * IFERROR(VLOOKUP("transport|PM25|Asthma symptoms wheeze", US_national_yearly!$D:$AM, 35, FALSE) / VLOOKUP("transport|PM25|Asthma symptoms wheeze", US_national_yearly!$D:$AM, 10, FALSE), 1)</f>
        <v>0.25400031870964523</v>
      </c>
      <c r="AB8" s="7">
        <f>$B8 * IFERROR(VLOOKUP("transport|PM25|Asthma symptoms wheeze", US_national_yearly!$D:$AM, 36, FALSE) / VLOOKUP("transport|PM25|Asthma symptoms wheeze", US_national_yearly!$D:$AM, 10, FALSE), 1)</f>
        <v>0.25400031870964523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5.6811044425115319E-3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5.7136662433673654E-3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5.7462280442231971E-3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5.7787898450790305E-3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5.8113516459348622E-3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5.8465197797917534E-3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5.8816879136486446E-3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5.915289729387989E-3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5.9488915451273361E-3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5.9824933608666822E-3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6.0160951766060292E-3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6.0496969923453736E-3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6.073813996063944E-3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6.0979309997825134E-3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6.1220480035010811E-3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6.1461650072196505E-3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6.1702820109382208E-3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6.1932445763245121E-3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6.2162071417108042E-3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6.2391697070970954E-3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6.2621322724833867E-3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6.2850948378696779E-3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6.3071851186856818E-3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6.3292753995016831E-3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6.3513656803176862E-3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6.3734559611336884E-3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6.3955462419496914E-3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3.2021962064393193E-2</v>
      </c>
      <c r="C13" s="7">
        <f>$B13 * IFERROR(VLOOKUP("transport|PM25|Non-fatal heart attacks", US_national_yearly!$D:$AM, 11, FALSE) / VLOOKUP("transport|PM25|Non-fatal heart attacks", US_national_yearly!$D:$AM, 10, FALSE), 1)</f>
        <v>3.2952925478166861E-2</v>
      </c>
      <c r="D13" s="7">
        <f>$B13 * IFERROR(VLOOKUP("transport|PM25|Non-fatal heart attacks", US_national_yearly!$D:$AM, 12, FALSE) / VLOOKUP("transport|PM25|Non-fatal heart attacks", US_national_yearly!$D:$AM, 10, FALSE), 1)</f>
        <v>3.3883888891940529E-2</v>
      </c>
      <c r="E13" s="7">
        <f>$B13 * IFERROR(VLOOKUP("transport|PM25|Non-fatal heart attacks", US_national_yearly!$D:$AM, 13, FALSE) / VLOOKUP("transport|PM25|Non-fatal heart attacks", US_national_yearly!$D:$AM, 10, FALSE), 1)</f>
        <v>3.481485230571419E-2</v>
      </c>
      <c r="F13" s="7">
        <f>$B13 * IFERROR(VLOOKUP("transport|PM25|Non-fatal heart attacks", US_national_yearly!$D:$AM, 14, FALSE) / VLOOKUP("transport|PM25|Non-fatal heart attacks", US_national_yearly!$D:$AM, 10, FALSE), 1)</f>
        <v>3.5745815719487865E-2</v>
      </c>
      <c r="G13" s="7">
        <f>$B13 * IFERROR(VLOOKUP("transport|PM25|Non-fatal heart attacks", US_national_yearly!$D:$AM, 15, FALSE) / VLOOKUP("transport|PM25|Non-fatal heart attacks", US_national_yearly!$D:$AM, 10, FALSE), 1)</f>
        <v>3.6623773073042432E-2</v>
      </c>
      <c r="H13" s="7">
        <f>$B13 * IFERROR(VLOOKUP("transport|PM25|Non-fatal heart attacks", US_national_yearly!$D:$AM, 16, FALSE) / VLOOKUP("transport|PM25|Non-fatal heart attacks", US_national_yearly!$D:$AM, 10, FALSE), 1)</f>
        <v>3.7501730426596998E-2</v>
      </c>
      <c r="I13" s="7">
        <f>$B13 * IFERROR(VLOOKUP("transport|PM25|Non-fatal heart attacks", US_national_yearly!$D:$AM, 17, FALSE) / VLOOKUP("transport|PM25|Non-fatal heart attacks", US_national_yearly!$D:$AM, 10, FALSE), 1)</f>
        <v>3.8207315994150774E-2</v>
      </c>
      <c r="J13" s="7">
        <f>$B13 * IFERROR(VLOOKUP("transport|PM25|Non-fatal heart attacks", US_national_yearly!$D:$AM, 18, FALSE) / VLOOKUP("transport|PM25|Non-fatal heart attacks", US_national_yearly!$D:$AM, 10, FALSE), 1)</f>
        <v>3.8912901561704558E-2</v>
      </c>
      <c r="K13" s="7">
        <f>$B13 * IFERROR(VLOOKUP("transport|PM25|Non-fatal heart attacks", US_national_yearly!$D:$AM, 19, FALSE) / VLOOKUP("transport|PM25|Non-fatal heart attacks", US_national_yearly!$D:$AM, 10, FALSE), 1)</f>
        <v>3.9618487129258341E-2</v>
      </c>
      <c r="L13" s="7">
        <f>$B13 * IFERROR(VLOOKUP("transport|PM25|Non-fatal heart attacks", US_national_yearly!$D:$AM, 20, FALSE) / VLOOKUP("transport|PM25|Non-fatal heart attacks", US_national_yearly!$D:$AM, 10, FALSE), 1)</f>
        <v>4.0324072696812124E-2</v>
      </c>
      <c r="M13" s="7">
        <f>$B13 * IFERROR(VLOOKUP("transport|PM25|Non-fatal heart attacks", US_national_yearly!$D:$AM, 21, FALSE) / VLOOKUP("transport|PM25|Non-fatal heart attacks", US_national_yearly!$D:$AM, 10, FALSE), 1)</f>
        <v>4.1029658264365908E-2</v>
      </c>
      <c r="N13" s="7">
        <f>$B13 * IFERROR(VLOOKUP("transport|PM25|Non-fatal heart attacks", US_national_yearly!$D:$AM, 22, FALSE) / VLOOKUP("transport|PM25|Non-fatal heart attacks", US_national_yearly!$D:$AM, 10, FALSE), 1)</f>
        <v>4.1484691282052781E-2</v>
      </c>
      <c r="O13" s="7">
        <f>$B13 * IFERROR(VLOOKUP("transport|PM25|Non-fatal heart attacks", US_national_yearly!$D:$AM, 23, FALSE) / VLOOKUP("transport|PM25|Non-fatal heart attacks", US_national_yearly!$D:$AM, 10, FALSE), 1)</f>
        <v>4.1939724299739654E-2</v>
      </c>
      <c r="P13" s="7">
        <f>$B13 * IFERROR(VLOOKUP("transport|PM25|Non-fatal heart attacks", US_national_yearly!$D:$AM, 24, FALSE) / VLOOKUP("transport|PM25|Non-fatal heart attacks", US_national_yearly!$D:$AM, 10, FALSE), 1)</f>
        <v>4.2394757317426528E-2</v>
      </c>
      <c r="Q13" s="7">
        <f>$B13 * IFERROR(VLOOKUP("transport|PM25|Non-fatal heart attacks", US_national_yearly!$D:$AM, 25, FALSE) / VLOOKUP("transport|PM25|Non-fatal heart attacks", US_national_yearly!$D:$AM, 10, FALSE), 1)</f>
        <v>4.2849790335113394E-2</v>
      </c>
      <c r="R13" s="7">
        <f>$B13 * IFERROR(VLOOKUP("transport|PM25|Non-fatal heart attacks", US_national_yearly!$D:$AM, 26, FALSE) / VLOOKUP("transport|PM25|Non-fatal heart attacks", US_national_yearly!$D:$AM, 10, FALSE), 1)</f>
        <v>4.3304823352800267E-2</v>
      </c>
      <c r="S13" s="7">
        <f>$B13 * IFERROR(VLOOKUP("transport|PM25|Non-fatal heart attacks", US_national_yearly!$D:$AM, 27, FALSE) / VLOOKUP("transport|PM25|Non-fatal heart attacks", US_national_yearly!$D:$AM, 10, FALSE), 1)</f>
        <v>4.3544456740108275E-2</v>
      </c>
      <c r="T13" s="7">
        <f>$B13 * IFERROR(VLOOKUP("transport|PM25|Non-fatal heart attacks", US_national_yearly!$D:$AM, 28, FALSE) / VLOOKUP("transport|PM25|Non-fatal heart attacks", US_national_yearly!$D:$AM, 10, FALSE), 1)</f>
        <v>4.3784090127416297E-2</v>
      </c>
      <c r="U13" s="7">
        <f>$B13 * IFERROR(VLOOKUP("transport|PM25|Non-fatal heart attacks", US_national_yearly!$D:$AM, 29, FALSE) / VLOOKUP("transport|PM25|Non-fatal heart attacks", US_national_yearly!$D:$AM, 10, FALSE), 1)</f>
        <v>4.4023723514724319E-2</v>
      </c>
      <c r="V13" s="7">
        <f>$B13 * IFERROR(VLOOKUP("transport|PM25|Non-fatal heart attacks", US_national_yearly!$D:$AM, 30, FALSE) / VLOOKUP("transport|PM25|Non-fatal heart attacks", US_national_yearly!$D:$AM, 10, FALSE), 1)</f>
        <v>4.4263356902032328E-2</v>
      </c>
      <c r="W13" s="7">
        <f>$B13 * IFERROR(VLOOKUP("transport|PM25|Non-fatal heart attacks", US_national_yearly!$D:$AM, 31, FALSE) / VLOOKUP("transport|PM25|Non-fatal heart attacks", US_national_yearly!$D:$AM, 10, FALSE), 1)</f>
        <v>4.4502990289340343E-2</v>
      </c>
      <c r="X13" s="7">
        <f>$B13 * IFERROR(VLOOKUP("transport|PM25|Non-fatal heart attacks", US_national_yearly!$D:$AM, 32, FALSE) / VLOOKUP("transport|PM25|Non-fatal heart attacks", US_national_yearly!$D:$AM, 10, FALSE), 1)</f>
        <v>4.4684906680582795E-2</v>
      </c>
      <c r="Y13" s="7">
        <f>$B13 * IFERROR(VLOOKUP("transport|PM25|Non-fatal heart attacks", US_national_yearly!$D:$AM, 33, FALSE) / VLOOKUP("transport|PM25|Non-fatal heart attacks", US_national_yearly!$D:$AM, 10, FALSE), 1)</f>
        <v>4.4866823071825261E-2</v>
      </c>
      <c r="Z13" s="7">
        <f>$B13 * IFERROR(VLOOKUP("transport|PM25|Non-fatal heart attacks", US_national_yearly!$D:$AM, 34, FALSE) / VLOOKUP("transport|PM25|Non-fatal heart attacks", US_national_yearly!$D:$AM, 10, FALSE), 1)</f>
        <v>4.5048739463067713E-2</v>
      </c>
      <c r="AA13" s="7">
        <f>$B13 * IFERROR(VLOOKUP("transport|PM25|Non-fatal heart attacks", US_national_yearly!$D:$AM, 35, FALSE) / VLOOKUP("transport|PM25|Non-fatal heart attacks", US_national_yearly!$D:$AM, 10, FALSE), 1)</f>
        <v>4.5230655854310173E-2</v>
      </c>
      <c r="AB13" s="7">
        <f>$B13 * IFERROR(VLOOKUP("transport|PM25|Non-fatal heart attacks", US_national_yearly!$D:$AM, 36, FALSE) / VLOOKUP("transport|PM25|Non-fatal heart attacks", US_national_yearly!$D:$AM, 10, FALSE), 1)</f>
        <v>4.5412572245552632E-2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17.56782742184927</v>
      </c>
      <c r="C14" s="7">
        <f>$B14 * IFERROR(VLOOKUP("transport|PM25|Minor restricted activity days", US_national_yearly!$D:$AM, 11, FALSE) / VLOOKUP("transport|PM25|Minor restricted activity days", US_national_yearly!$D:$AM, 10, FALSE), 1)</f>
        <v>17.610730139797607</v>
      </c>
      <c r="D14" s="7">
        <f>$B14 * IFERROR(VLOOKUP("transport|PM25|Minor restricted activity days", US_national_yearly!$D:$AM, 12, FALSE) / VLOOKUP("transport|PM25|Minor restricted activity days", US_national_yearly!$D:$AM, 10, FALSE), 1)</f>
        <v>17.653632857745944</v>
      </c>
      <c r="E14" s="7">
        <f>$B14 * IFERROR(VLOOKUP("transport|PM25|Minor restricted activity days", US_national_yearly!$D:$AM, 13, FALSE) / VLOOKUP("transport|PM25|Minor restricted activity days", US_national_yearly!$D:$AM, 10, FALSE), 1)</f>
        <v>17.696535575694284</v>
      </c>
      <c r="F14" s="7">
        <f>$B14 * IFERROR(VLOOKUP("transport|PM25|Minor restricted activity days", US_national_yearly!$D:$AM, 14, FALSE) / VLOOKUP("transport|PM25|Minor restricted activity days", US_national_yearly!$D:$AM, 10, FALSE), 1)</f>
        <v>17.739438293642618</v>
      </c>
      <c r="G14" s="7">
        <f>$B14 * IFERROR(VLOOKUP("transport|PM25|Minor restricted activity days", US_national_yearly!$D:$AM, 15, FALSE) / VLOOKUP("transport|PM25|Minor restricted activity days", US_national_yearly!$D:$AM, 10, FALSE), 1)</f>
        <v>17.802739970008307</v>
      </c>
      <c r="H14" s="7">
        <f>$B14 * IFERROR(VLOOKUP("transport|PM25|Minor restricted activity days", US_national_yearly!$D:$AM, 16, FALSE) / VLOOKUP("transport|PM25|Minor restricted activity days", US_national_yearly!$D:$AM, 10, FALSE), 1)</f>
        <v>17.866041646373997</v>
      </c>
      <c r="I14" s="7">
        <f>$B14 * IFERROR(VLOOKUP("transport|PM25|Minor restricted activity days", US_national_yearly!$D:$AM, 17, FALSE) / VLOOKUP("transport|PM25|Minor restricted activity days", US_national_yearly!$D:$AM, 10, FALSE), 1)</f>
        <v>17.974258525275253</v>
      </c>
      <c r="J14" s="7">
        <f>$B14 * IFERROR(VLOOKUP("transport|PM25|Minor restricted activity days", US_national_yearly!$D:$AM, 18, FALSE) / VLOOKUP("transport|PM25|Minor restricted activity days", US_national_yearly!$D:$AM, 10, FALSE), 1)</f>
        <v>18.082475404176503</v>
      </c>
      <c r="K14" s="7">
        <f>$B14 * IFERROR(VLOOKUP("transport|PM25|Minor restricted activity days", US_national_yearly!$D:$AM, 19, FALSE) / VLOOKUP("transport|PM25|Minor restricted activity days", US_national_yearly!$D:$AM, 10, FALSE), 1)</f>
        <v>18.190692283077762</v>
      </c>
      <c r="L14" s="7">
        <f>$B14 * IFERROR(VLOOKUP("transport|PM25|Minor restricted activity days", US_national_yearly!$D:$AM, 20, FALSE) / VLOOKUP("transport|PM25|Minor restricted activity days", US_national_yearly!$D:$AM, 10, FALSE), 1)</f>
        <v>18.298909161979019</v>
      </c>
      <c r="M14" s="7">
        <f>$B14 * IFERROR(VLOOKUP("transport|PM25|Minor restricted activity days", US_national_yearly!$D:$AM, 21, FALSE) / VLOOKUP("transport|PM25|Minor restricted activity days", US_national_yearly!$D:$AM, 10, FALSE), 1)</f>
        <v>18.407126040880271</v>
      </c>
      <c r="N14" s="7">
        <f>$B14 * IFERROR(VLOOKUP("transport|PM25|Minor restricted activity days", US_national_yearly!$D:$AM, 22, FALSE) / VLOOKUP("transport|PM25|Minor restricted activity days", US_national_yearly!$D:$AM, 10, FALSE), 1)</f>
        <v>18.554538975886054</v>
      </c>
      <c r="O14" s="7">
        <f>$B14 * IFERROR(VLOOKUP("transport|PM25|Minor restricted activity days", US_national_yearly!$D:$AM, 23, FALSE) / VLOOKUP("transport|PM25|Minor restricted activity days", US_national_yearly!$D:$AM, 10, FALSE), 1)</f>
        <v>18.701951910891829</v>
      </c>
      <c r="P14" s="7">
        <f>$B14 * IFERROR(VLOOKUP("transport|PM25|Minor restricted activity days", US_national_yearly!$D:$AM, 24, FALSE) / VLOOKUP("transport|PM25|Minor restricted activity days", US_national_yearly!$D:$AM, 10, FALSE), 1)</f>
        <v>18.849364845897611</v>
      </c>
      <c r="Q14" s="7">
        <f>$B14 * IFERROR(VLOOKUP("transport|PM25|Minor restricted activity days", US_national_yearly!$D:$AM, 25, FALSE) / VLOOKUP("transport|PM25|Minor restricted activity days", US_national_yearly!$D:$AM, 10, FALSE), 1)</f>
        <v>18.99677778090339</v>
      </c>
      <c r="R14" s="7">
        <f>$B14 * IFERROR(VLOOKUP("transport|PM25|Minor restricted activity days", US_national_yearly!$D:$AM, 26, FALSE) / VLOOKUP("transport|PM25|Minor restricted activity days", US_national_yearly!$D:$AM, 10, FALSE), 1)</f>
        <v>19.144190715909168</v>
      </c>
      <c r="S14" s="7">
        <f>$B14 * IFERROR(VLOOKUP("transport|PM25|Minor restricted activity days", US_national_yearly!$D:$AM, 27, FALSE) / VLOOKUP("transport|PM25|Minor restricted activity days", US_national_yearly!$D:$AM, 10, FALSE), 1)</f>
        <v>19.292618835494149</v>
      </c>
      <c r="T14" s="7">
        <f>$B14 * IFERROR(VLOOKUP("transport|PM25|Minor restricted activity days", US_national_yearly!$D:$AM, 28, FALSE) / VLOOKUP("transport|PM25|Minor restricted activity days", US_national_yearly!$D:$AM, 10, FALSE), 1)</f>
        <v>19.44104695507913</v>
      </c>
      <c r="U14" s="7">
        <f>$B14 * IFERROR(VLOOKUP("transport|PM25|Minor restricted activity days", US_national_yearly!$D:$AM, 29, FALSE) / VLOOKUP("transport|PM25|Minor restricted activity days", US_national_yearly!$D:$AM, 10, FALSE), 1)</f>
        <v>19.589475074664115</v>
      </c>
      <c r="V14" s="7">
        <f>$B14 * IFERROR(VLOOKUP("transport|PM25|Minor restricted activity days", US_national_yearly!$D:$AM, 30, FALSE) / VLOOKUP("transport|PM25|Minor restricted activity days", US_national_yearly!$D:$AM, 10, FALSE), 1)</f>
        <v>19.737903194249096</v>
      </c>
      <c r="W14" s="7">
        <f>$B14 * IFERROR(VLOOKUP("transport|PM25|Minor restricted activity days", US_national_yearly!$D:$AM, 31, FALSE) / VLOOKUP("transport|PM25|Minor restricted activity days", US_national_yearly!$D:$AM, 10, FALSE), 1)</f>
        <v>19.886331313834081</v>
      </c>
      <c r="X14" s="7">
        <f>$B14 * IFERROR(VLOOKUP("transport|PM25|Minor restricted activity days", US_national_yearly!$D:$AM, 32, FALSE) / VLOOKUP("transport|PM25|Minor restricted activity days", US_national_yearly!$D:$AM, 10, FALSE), 1)</f>
        <v>20.015181853786778</v>
      </c>
      <c r="Y14" s="7">
        <f>$B14 * IFERROR(VLOOKUP("transport|PM25|Minor restricted activity days", US_national_yearly!$D:$AM, 33, FALSE) / VLOOKUP("transport|PM25|Minor restricted activity days", US_national_yearly!$D:$AM, 10, FALSE), 1)</f>
        <v>20.144032393739472</v>
      </c>
      <c r="Z14" s="7">
        <f>$B14 * IFERROR(VLOOKUP("transport|PM25|Minor restricted activity days", US_national_yearly!$D:$AM, 34, FALSE) / VLOOKUP("transport|PM25|Minor restricted activity days", US_national_yearly!$D:$AM, 10, FALSE), 1)</f>
        <v>20.27288293369217</v>
      </c>
      <c r="AA14" s="7">
        <f>$B14 * IFERROR(VLOOKUP("transport|PM25|Minor restricted activity days", US_national_yearly!$D:$AM, 35, FALSE) / VLOOKUP("transport|PM25|Minor restricted activity days", US_national_yearly!$D:$AM, 10, FALSE), 1)</f>
        <v>20.401733473644864</v>
      </c>
      <c r="AB14" s="7">
        <f>$B14 * IFERROR(VLOOKUP("transport|PM25|Minor restricted activity days", US_national_yearly!$D:$AM, 36, FALSE) / VLOOKUP("transport|PM25|Minor restricted activity days", US_national_yearly!$D:$AM, 10, FALSE), 1)</f>
        <v>20.530584013597558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2.9680815371282492</v>
      </c>
      <c r="C15" s="7">
        <f>$B15 * IFERROR(VLOOKUP("transport|PM25|Work loss days", US_national_yearly!$D:$AM, 11, FALSE) / VLOOKUP("transport|PM25|Work loss days", US_national_yearly!$D:$AM, 10, FALSE), 1)</f>
        <v>2.9772815208770589</v>
      </c>
      <c r="D15" s="7">
        <f>$B15 * IFERROR(VLOOKUP("transport|PM25|Work loss days", US_national_yearly!$D:$AM, 12, FALSE) / VLOOKUP("transport|PM25|Work loss days", US_national_yearly!$D:$AM, 10, FALSE), 1)</f>
        <v>2.9864815046258695</v>
      </c>
      <c r="E15" s="7">
        <f>$B15 * IFERROR(VLOOKUP("transport|PM25|Work loss days", US_national_yearly!$D:$AM, 13, FALSE) / VLOOKUP("transport|PM25|Work loss days", US_national_yearly!$D:$AM, 10, FALSE), 1)</f>
        <v>2.9956814883746792</v>
      </c>
      <c r="F15" s="7">
        <f>$B15 * IFERROR(VLOOKUP("transport|PM25|Work loss days", US_national_yearly!$D:$AM, 14, FALSE) / VLOOKUP("transport|PM25|Work loss days", US_national_yearly!$D:$AM, 10, FALSE), 1)</f>
        <v>3.0048814721234889</v>
      </c>
      <c r="G15" s="7">
        <f>$B15 * IFERROR(VLOOKUP("transport|PM25|Work loss days", US_national_yearly!$D:$AM, 15, FALSE) / VLOOKUP("transport|PM25|Work loss days", US_national_yearly!$D:$AM, 10, FALSE), 1)</f>
        <v>3.0169432378779657</v>
      </c>
      <c r="H15" s="7">
        <f>$B15 * IFERROR(VLOOKUP("transport|PM25|Work loss days", US_national_yearly!$D:$AM, 16, FALSE) / VLOOKUP("transport|PM25|Work loss days", US_national_yearly!$D:$AM, 10, FALSE), 1)</f>
        <v>3.0290050036324425</v>
      </c>
      <c r="I15" s="7">
        <f>$B15 * IFERROR(VLOOKUP("transport|PM25|Work loss days", US_national_yearly!$D:$AM, 17, FALSE) / VLOOKUP("transport|PM25|Work loss days", US_national_yearly!$D:$AM, 10, FALSE), 1)</f>
        <v>3.0467672803181047</v>
      </c>
      <c r="J15" s="7">
        <f>$B15 * IFERROR(VLOOKUP("transport|PM25|Work loss days", US_national_yearly!$D:$AM, 18, FALSE) / VLOOKUP("transport|PM25|Work loss days", US_national_yearly!$D:$AM, 10, FALSE), 1)</f>
        <v>3.0645295570037669</v>
      </c>
      <c r="K15" s="7">
        <f>$B15 * IFERROR(VLOOKUP("transport|PM25|Work loss days", US_national_yearly!$D:$AM, 19, FALSE) / VLOOKUP("transport|PM25|Work loss days", US_national_yearly!$D:$AM, 10, FALSE), 1)</f>
        <v>3.0822918336894292</v>
      </c>
      <c r="L15" s="7">
        <f>$B15 * IFERROR(VLOOKUP("transport|PM25|Work loss days", US_national_yearly!$D:$AM, 20, FALSE) / VLOOKUP("transport|PM25|Work loss days", US_national_yearly!$D:$AM, 10, FALSE), 1)</f>
        <v>3.1000541103750914</v>
      </c>
      <c r="M15" s="7">
        <f>$B15 * IFERROR(VLOOKUP("transport|PM25|Work loss days", US_national_yearly!$D:$AM, 21, FALSE) / VLOOKUP("transport|PM25|Work loss days", US_national_yearly!$D:$AM, 10, FALSE), 1)</f>
        <v>3.1178163870607536</v>
      </c>
      <c r="N15" s="7">
        <f>$B15 * IFERROR(VLOOKUP("transport|PM25|Work loss days", US_national_yearly!$D:$AM, 22, FALSE) / VLOOKUP("transport|PM25|Work loss days", US_national_yearly!$D:$AM, 10, FALSE), 1)</f>
        <v>3.1401715566750865</v>
      </c>
      <c r="O15" s="7">
        <f>$B15 * IFERROR(VLOOKUP("transport|PM25|Work loss days", US_national_yearly!$D:$AM, 23, FALSE) / VLOOKUP("transport|PM25|Work loss days", US_national_yearly!$D:$AM, 10, FALSE), 1)</f>
        <v>3.1625267262894186</v>
      </c>
      <c r="P15" s="7">
        <f>$B15 * IFERROR(VLOOKUP("transport|PM25|Work loss days", US_national_yearly!$D:$AM, 24, FALSE) / VLOOKUP("transport|PM25|Work loss days", US_national_yearly!$D:$AM, 10, FALSE), 1)</f>
        <v>3.1848818959037515</v>
      </c>
      <c r="Q15" s="7">
        <f>$B15 * IFERROR(VLOOKUP("transport|PM25|Work loss days", US_national_yearly!$D:$AM, 25, FALSE) / VLOOKUP("transport|PM25|Work loss days", US_national_yearly!$D:$AM, 10, FALSE), 1)</f>
        <v>3.2072370655180835</v>
      </c>
      <c r="R15" s="7">
        <f>$B15 * IFERROR(VLOOKUP("transport|PM25|Work loss days", US_national_yearly!$D:$AM, 26, FALSE) / VLOOKUP("transport|PM25|Work loss days", US_national_yearly!$D:$AM, 10, FALSE), 1)</f>
        <v>3.2295922351324164</v>
      </c>
      <c r="S15" s="7">
        <f>$B15 * IFERROR(VLOOKUP("transport|PM25|Work loss days", US_national_yearly!$D:$AM, 27, FALSE) / VLOOKUP("transport|PM25|Work loss days", US_national_yearly!$D:$AM, 10, FALSE), 1)</f>
        <v>3.2543180071452533</v>
      </c>
      <c r="T15" s="7">
        <f>$B15 * IFERROR(VLOOKUP("transport|PM25|Work loss days", US_national_yearly!$D:$AM, 28, FALSE) / VLOOKUP("transport|PM25|Work loss days", US_national_yearly!$D:$AM, 10, FALSE), 1)</f>
        <v>3.2790437791580911</v>
      </c>
      <c r="U15" s="7">
        <f>$B15 * IFERROR(VLOOKUP("transport|PM25|Work loss days", US_national_yearly!$D:$AM, 29, FALSE) / VLOOKUP("transport|PM25|Work loss days", US_national_yearly!$D:$AM, 10, FALSE), 1)</f>
        <v>3.3037695511709271</v>
      </c>
      <c r="V15" s="7">
        <f>$B15 * IFERROR(VLOOKUP("transport|PM25|Work loss days", US_national_yearly!$D:$AM, 30, FALSE) / VLOOKUP("transport|PM25|Work loss days", US_national_yearly!$D:$AM, 10, FALSE), 1)</f>
        <v>3.3284953231837648</v>
      </c>
      <c r="W15" s="7">
        <f>$B15 * IFERROR(VLOOKUP("transport|PM25|Work loss days", US_national_yearly!$D:$AM, 31, FALSE) / VLOOKUP("transport|PM25|Work loss days", US_national_yearly!$D:$AM, 10, FALSE), 1)</f>
        <v>3.3532210951966022</v>
      </c>
      <c r="X15" s="7">
        <f>$B15 * IFERROR(VLOOKUP("transport|PM25|Work loss days", US_national_yearly!$D:$AM, 32, FALSE) / VLOOKUP("transport|PM25|Work loss days", US_national_yearly!$D:$AM, 10, FALSE), 1)</f>
        <v>3.3751595236022665</v>
      </c>
      <c r="Y15" s="7">
        <f>$B15 * IFERROR(VLOOKUP("transport|PM25|Work loss days", US_national_yearly!$D:$AM, 33, FALSE) / VLOOKUP("transport|PM25|Work loss days", US_national_yearly!$D:$AM, 10, FALSE), 1)</f>
        <v>3.3970979520079312</v>
      </c>
      <c r="Z15" s="7">
        <f>$B15 * IFERROR(VLOOKUP("transport|PM25|Work loss days", US_national_yearly!$D:$AM, 34, FALSE) / VLOOKUP("transport|PM25|Work loss days", US_national_yearly!$D:$AM, 10, FALSE), 1)</f>
        <v>3.4190363804135964</v>
      </c>
      <c r="AA15" s="7">
        <f>$B15 * IFERROR(VLOOKUP("transport|PM25|Work loss days", US_national_yearly!$D:$AM, 35, FALSE) / VLOOKUP("transport|PM25|Work loss days", US_national_yearly!$D:$AM, 10, FALSE), 1)</f>
        <v>3.440974808819262</v>
      </c>
      <c r="AB15" s="7">
        <f>$B15 * IFERROR(VLOOKUP("transport|PM25|Work loss days", US_national_yearly!$D:$AM, 36, FALSE) / VLOOKUP("transport|PM25|Work loss days", US_national_yearly!$D:$AM, 10, FALSE), 1)</f>
        <v>3.4629132372249267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8.3031710193625981E-3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8.5512755593622636E-3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8.7993800993619309E-3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9.0474846393615999E-3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9.2955891793612671E-3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9.5332290105731802E-3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9.7708688417850968E-3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9.9741114723872724E-3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1.0177354102989446E-2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1.038059673359162E-2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1.0583839364193798E-2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1.0787081994795972E-2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1.0922588496918646E-2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1.1058094999041323E-2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1.1193601501163998E-2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1.1329108003286674E-2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1.1464614505409349E-2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1.1536310096064106E-2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1.160800568671886E-2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1.1679701277373611E-2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1.1751396868028365E-2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1.182309245868312E-2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1.1871358873393557E-2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1.1919625288103995E-2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1.1967891702814433E-2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1.2016158117524871E-2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1.2064424532235309E-2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2.8017658090947139E-3</v>
      </c>
      <c r="C2" s="7">
        <f>$B2 * IFERROR(VLOOKUP("transport|NOx|Premature mortality", US_national_yearly!$D:$AM, 11, FALSE) / VLOOKUP("transport|NOx|Premature mortality", US_national_yearly!$D:$AM, 10, FALSE), 1)</f>
        <v>2.8429190131364869E-3</v>
      </c>
      <c r="D2" s="7">
        <f>$B2 * IFERROR(VLOOKUP("transport|NOx|Premature mortality", US_national_yearly!$D:$AM, 12, FALSE) / VLOOKUP("transport|NOx|Premature mortality", US_national_yearly!$D:$AM, 10, FALSE), 1)</f>
        <v>2.884072217178259E-3</v>
      </c>
      <c r="E2" s="7">
        <f>$B2 * IFERROR(VLOOKUP("transport|NOx|Premature mortality", US_national_yearly!$D:$AM, 13, FALSE) / VLOOKUP("transport|NOx|Premature mortality", US_national_yearly!$D:$AM, 10, FALSE), 1)</f>
        <v>2.925225421220032E-3</v>
      </c>
      <c r="F2" s="7">
        <f>$B2 * IFERROR(VLOOKUP("transport|NOx|Premature mortality", US_national_yearly!$D:$AM, 14, FALSE) / VLOOKUP("transport|NOx|Premature mortality", US_national_yearly!$D:$AM, 10, FALSE), 1)</f>
        <v>2.9663786252618046E-3</v>
      </c>
      <c r="G2" s="7">
        <f>$B2 * IFERROR(VLOOKUP("transport|NOx|Premature mortality", US_national_yearly!$D:$AM, 15, FALSE) / VLOOKUP("transport|NOx|Premature mortality", US_national_yearly!$D:$AM, 10, FALSE), 1)</f>
        <v>3.0402995093343496E-3</v>
      </c>
      <c r="H2" s="7">
        <f>$B2 * IFERROR(VLOOKUP("transport|NOx|Premature mortality", US_national_yearly!$D:$AM, 16, FALSE) / VLOOKUP("transport|NOx|Premature mortality", US_national_yearly!$D:$AM, 10, FALSE), 1)</f>
        <v>3.1142203934068956E-3</v>
      </c>
      <c r="I2" s="7">
        <f>$B2 * IFERROR(VLOOKUP("transport|NOx|Premature mortality", US_national_yearly!$D:$AM, 17, FALSE) / VLOOKUP("transport|NOx|Premature mortality", US_national_yearly!$D:$AM, 10, FALSE), 1)</f>
        <v>3.1619377262539919E-3</v>
      </c>
      <c r="J2" s="7">
        <f>$B2 * IFERROR(VLOOKUP("transport|NOx|Premature mortality", US_national_yearly!$D:$AM, 18, FALSE) / VLOOKUP("transport|NOx|Premature mortality", US_national_yearly!$D:$AM, 10, FALSE), 1)</f>
        <v>3.2096550591010887E-3</v>
      </c>
      <c r="K2" s="7">
        <f>$B2 * IFERROR(VLOOKUP("transport|NOx|Premature mortality", US_national_yearly!$D:$AM, 19, FALSE) / VLOOKUP("transport|NOx|Premature mortality", US_national_yearly!$D:$AM, 10, FALSE), 1)</f>
        <v>3.257372391948185E-3</v>
      </c>
      <c r="L2" s="7">
        <f>$B2 * IFERROR(VLOOKUP("transport|NOx|Premature mortality", US_national_yearly!$D:$AM, 20, FALSE) / VLOOKUP("transport|NOx|Premature mortality", US_national_yearly!$D:$AM, 10, FALSE), 1)</f>
        <v>3.3050897247952813E-3</v>
      </c>
      <c r="M2" s="7">
        <f>$B2 * IFERROR(VLOOKUP("transport|NOx|Premature mortality", US_national_yearly!$D:$AM, 21, FALSE) / VLOOKUP("transport|NOx|Premature mortality", US_national_yearly!$D:$AM, 10, FALSE), 1)</f>
        <v>3.352807057642378E-3</v>
      </c>
      <c r="N2" s="7">
        <f>$B2 * IFERROR(VLOOKUP("transport|NOx|Premature mortality", US_national_yearly!$D:$AM, 22, FALSE) / VLOOKUP("transport|NOx|Premature mortality", US_national_yearly!$D:$AM, 10, FALSE), 1)</f>
        <v>3.3881558723122904E-3</v>
      </c>
      <c r="O2" s="7">
        <f>$B2 * IFERROR(VLOOKUP("transport|NOx|Premature mortality", US_national_yearly!$D:$AM, 23, FALSE) / VLOOKUP("transport|NOx|Premature mortality", US_national_yearly!$D:$AM, 10, FALSE), 1)</f>
        <v>3.4235046869822029E-3</v>
      </c>
      <c r="P2" s="7">
        <f>$B2 * IFERROR(VLOOKUP("transport|NOx|Premature mortality", US_national_yearly!$D:$AM, 24, FALSE) / VLOOKUP("transport|NOx|Premature mortality", US_national_yearly!$D:$AM, 10, FALSE), 1)</f>
        <v>3.4588535016521153E-3</v>
      </c>
      <c r="Q2" s="7">
        <f>$B2 * IFERROR(VLOOKUP("transport|NOx|Premature mortality", US_national_yearly!$D:$AM, 25, FALSE) / VLOOKUP("transport|NOx|Premature mortality", US_national_yearly!$D:$AM, 10, FALSE), 1)</f>
        <v>3.4942023163220285E-3</v>
      </c>
      <c r="R2" s="7">
        <f>$B2 * IFERROR(VLOOKUP("transport|NOx|Premature mortality", US_national_yearly!$D:$AM, 26, FALSE) / VLOOKUP("transport|NOx|Premature mortality", US_national_yearly!$D:$AM, 10, FALSE), 1)</f>
        <v>3.5295511309919405E-3</v>
      </c>
      <c r="S2" s="7">
        <f>$B2 * IFERROR(VLOOKUP("transport|NOx|Premature mortality", US_national_yearly!$D:$AM, 27, FALSE) / VLOOKUP("transport|NOx|Premature mortality", US_national_yearly!$D:$AM, 10, FALSE), 1)</f>
        <v>3.5456175232172491E-3</v>
      </c>
      <c r="T2" s="7">
        <f>$B2 * IFERROR(VLOOKUP("transport|NOx|Premature mortality", US_national_yearly!$D:$AM, 28, FALSE) / VLOOKUP("transport|NOx|Premature mortality", US_national_yearly!$D:$AM, 10, FALSE), 1)</f>
        <v>3.5616839154425585E-3</v>
      </c>
      <c r="U2" s="7">
        <f>$B2 * IFERROR(VLOOKUP("transport|NOx|Premature mortality", US_national_yearly!$D:$AM, 29, FALSE) / VLOOKUP("transport|NOx|Premature mortality", US_national_yearly!$D:$AM, 10, FALSE), 1)</f>
        <v>3.5777503076678666E-3</v>
      </c>
      <c r="V2" s="7">
        <f>$B2 * IFERROR(VLOOKUP("transport|NOx|Premature mortality", US_national_yearly!$D:$AM, 30, FALSE) / VLOOKUP("transport|NOx|Premature mortality", US_national_yearly!$D:$AM, 10, FALSE), 1)</f>
        <v>3.5938166998931752E-3</v>
      </c>
      <c r="W2" s="7">
        <f>$B2 * IFERROR(VLOOKUP("transport|NOx|Premature mortality", US_national_yearly!$D:$AM, 31, FALSE) / VLOOKUP("transport|NOx|Premature mortality", US_national_yearly!$D:$AM, 10, FALSE), 1)</f>
        <v>3.6098830921184842E-3</v>
      </c>
      <c r="X2" s="7">
        <f>$B2 * IFERROR(VLOOKUP("transport|NOx|Premature mortality", US_national_yearly!$D:$AM, 32, FALSE) / VLOOKUP("transport|NOx|Premature mortality", US_national_yearly!$D:$AM, 10, FALSE), 1)</f>
        <v>3.610439622722986E-3</v>
      </c>
      <c r="Y2" s="7">
        <f>$B2 * IFERROR(VLOOKUP("transport|NOx|Premature mortality", US_national_yearly!$D:$AM, 33, FALSE) / VLOOKUP("transport|NOx|Premature mortality", US_national_yearly!$D:$AM, 10, FALSE), 1)</f>
        <v>3.6109961533274879E-3</v>
      </c>
      <c r="Z2" s="7">
        <f>$B2 * IFERROR(VLOOKUP("transport|NOx|Premature mortality", US_national_yearly!$D:$AM, 34, FALSE) / VLOOKUP("transport|NOx|Premature mortality", US_national_yearly!$D:$AM, 10, FALSE), 1)</f>
        <v>3.6115526839319892E-3</v>
      </c>
      <c r="AA2" s="7">
        <f>$B2 * IFERROR(VLOOKUP("transport|NOx|Premature mortality", US_national_yearly!$D:$AM, 35, FALSE) / VLOOKUP("transport|NOx|Premature mortality", US_national_yearly!$D:$AM, 10, FALSE), 1)</f>
        <v>3.6121092145364915E-3</v>
      </c>
      <c r="AB2" s="7">
        <f>$B2 * IFERROR(VLOOKUP("transport|NOx|Premature mortality", US_national_yearly!$D:$AM, 36, FALSE) / VLOOKUP("transport|NOx|Premature mortality", US_national_yearly!$D:$AM, 10, FALSE), 1)</f>
        <v>3.6126657451409933E-3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5.3276763216434552E-6</v>
      </c>
      <c r="C3" s="7">
        <f>$B3 * IFERROR(VLOOKUP("transport|NOx|Infant mortality", US_national_yearly!$D:$AM, 11, FALSE) / VLOOKUP("transport|NOx|Infant mortality", US_national_yearly!$D:$AM, 10, FALSE), 1)</f>
        <v>5.27691662889477E-6</v>
      </c>
      <c r="D3" s="7">
        <f>$B3 * IFERROR(VLOOKUP("transport|NOx|Infant mortality", US_national_yearly!$D:$AM, 12, FALSE) / VLOOKUP("transport|NOx|Infant mortality", US_national_yearly!$D:$AM, 10, FALSE), 1)</f>
        <v>5.2261569361460849E-6</v>
      </c>
      <c r="E3" s="7">
        <f>$B3 * IFERROR(VLOOKUP("transport|NOx|Infant mortality", US_national_yearly!$D:$AM, 13, FALSE) / VLOOKUP("transport|NOx|Infant mortality", US_national_yearly!$D:$AM, 10, FALSE), 1)</f>
        <v>5.1753972433973998E-6</v>
      </c>
      <c r="F3" s="7">
        <f>$B3 * IFERROR(VLOOKUP("transport|NOx|Infant mortality", US_national_yearly!$D:$AM, 14, FALSE) / VLOOKUP("transport|NOx|Infant mortality", US_national_yearly!$D:$AM, 10, FALSE), 1)</f>
        <v>5.1246375506487147E-6</v>
      </c>
      <c r="G3" s="7">
        <f>$B3 * IFERROR(VLOOKUP("transport|NOx|Infant mortality", US_national_yearly!$D:$AM, 15, FALSE) / VLOOKUP("transport|NOx|Infant mortality", US_national_yearly!$D:$AM, 10, FALSE), 1)</f>
        <v>3.4019874657585624E-6</v>
      </c>
      <c r="H3" s="7">
        <f>$B3 * IFERROR(VLOOKUP("transport|NOx|Infant mortality", US_national_yearly!$D:$AM, 16, FALSE) / VLOOKUP("transport|NOx|Infant mortality", US_national_yearly!$D:$AM, 10, FALSE), 1)</f>
        <v>1.6793373808684104E-6</v>
      </c>
      <c r="I3" s="7">
        <f>$B3 * IFERROR(VLOOKUP("transport|NOx|Infant mortality", US_national_yearly!$D:$AM, 17, FALSE) / VLOOKUP("transport|NOx|Infant mortality", US_national_yearly!$D:$AM, 10, FALSE), 1)</f>
        <v>1.6674628621478056E-6</v>
      </c>
      <c r="J3" s="7">
        <f>$B3 * IFERROR(VLOOKUP("transport|NOx|Infant mortality", US_national_yearly!$D:$AM, 18, FALSE) / VLOOKUP("transport|NOx|Infant mortality", US_national_yearly!$D:$AM, 10, FALSE), 1)</f>
        <v>1.6555883434272005E-6</v>
      </c>
      <c r="K3" s="7">
        <f>$B3 * IFERROR(VLOOKUP("transport|NOx|Infant mortality", US_national_yearly!$D:$AM, 19, FALSE) / VLOOKUP("transport|NOx|Infant mortality", US_national_yearly!$D:$AM, 10, FALSE), 1)</f>
        <v>1.6437138247065955E-6</v>
      </c>
      <c r="L3" s="7">
        <f>$B3 * IFERROR(VLOOKUP("transport|NOx|Infant mortality", US_national_yearly!$D:$AM, 20, FALSE) / VLOOKUP("transport|NOx|Infant mortality", US_national_yearly!$D:$AM, 10, FALSE), 1)</f>
        <v>1.6318393059859908E-6</v>
      </c>
      <c r="M3" s="7">
        <f>$B3 * IFERROR(VLOOKUP("transport|NOx|Infant mortality", US_national_yearly!$D:$AM, 21, FALSE) / VLOOKUP("transport|NOx|Infant mortality", US_national_yearly!$D:$AM, 10, FALSE), 1)</f>
        <v>1.6199647872653856E-6</v>
      </c>
      <c r="N3" s="7">
        <f>$B3 * IFERROR(VLOOKUP("transport|NOx|Infant mortality", US_national_yearly!$D:$AM, 22, FALSE) / VLOOKUP("transport|NOx|Infant mortality", US_national_yearly!$D:$AM, 10, FALSE), 1)</f>
        <v>1.6120829782417795E-6</v>
      </c>
      <c r="O3" s="7">
        <f>$B3 * IFERROR(VLOOKUP("transport|NOx|Infant mortality", US_national_yearly!$D:$AM, 23, FALSE) / VLOOKUP("transport|NOx|Infant mortality", US_national_yearly!$D:$AM, 10, FALSE), 1)</f>
        <v>1.6042011692181734E-6</v>
      </c>
      <c r="P3" s="7">
        <f>$B3 * IFERROR(VLOOKUP("transport|NOx|Infant mortality", US_national_yearly!$D:$AM, 24, FALSE) / VLOOKUP("transport|NOx|Infant mortality", US_national_yearly!$D:$AM, 10, FALSE), 1)</f>
        <v>1.5963193601945673E-6</v>
      </c>
      <c r="Q3" s="7">
        <f>$B3 * IFERROR(VLOOKUP("transport|NOx|Infant mortality", US_national_yearly!$D:$AM, 25, FALSE) / VLOOKUP("transport|NOx|Infant mortality", US_national_yearly!$D:$AM, 10, FALSE), 1)</f>
        <v>1.5884375511709612E-6</v>
      </c>
      <c r="R3" s="7">
        <f>$B3 * IFERROR(VLOOKUP("transport|NOx|Infant mortality", US_national_yearly!$D:$AM, 26, FALSE) / VLOOKUP("transport|NOx|Infant mortality", US_national_yearly!$D:$AM, 10, FALSE), 1)</f>
        <v>1.5805557421473551E-6</v>
      </c>
      <c r="S3" s="7">
        <f>$B3 * IFERROR(VLOOKUP("transport|NOx|Infant mortality", US_national_yearly!$D:$AM, 27, FALSE) / VLOOKUP("transport|NOx|Infant mortality", US_national_yearly!$D:$AM, 10, FALSE), 1)</f>
        <v>1.5710805543055558E-6</v>
      </c>
      <c r="T3" s="7">
        <f>$B3 * IFERROR(VLOOKUP("transport|NOx|Infant mortality", US_national_yearly!$D:$AM, 28, FALSE) / VLOOKUP("transport|NOx|Infant mortality", US_national_yearly!$D:$AM, 10, FALSE), 1)</f>
        <v>1.5616053664637565E-6</v>
      </c>
      <c r="U3" s="7">
        <f>$B3 * IFERROR(VLOOKUP("transport|NOx|Infant mortality", US_national_yearly!$D:$AM, 29, FALSE) / VLOOKUP("transport|NOx|Infant mortality", US_national_yearly!$D:$AM, 10, FALSE), 1)</f>
        <v>1.5521301786219572E-6</v>
      </c>
      <c r="V3" s="7">
        <f>$B3 * IFERROR(VLOOKUP("transport|NOx|Infant mortality", US_national_yearly!$D:$AM, 30, FALSE) / VLOOKUP("transport|NOx|Infant mortality", US_national_yearly!$D:$AM, 10, FALSE), 1)</f>
        <v>1.5426549907801579E-6</v>
      </c>
      <c r="W3" s="7">
        <f>$B3 * IFERROR(VLOOKUP("transport|NOx|Infant mortality", US_national_yearly!$D:$AM, 31, FALSE) / VLOOKUP("transport|NOx|Infant mortality", US_national_yearly!$D:$AM, 10, FALSE), 1)</f>
        <v>1.5331798029383585E-6</v>
      </c>
      <c r="X3" s="7">
        <f>$B3 * IFERROR(VLOOKUP("transport|NOx|Infant mortality", US_national_yearly!$D:$AM, 32, FALSE) / VLOOKUP("transport|NOx|Infant mortality", US_national_yearly!$D:$AM, 10, FALSE), 1)</f>
        <v>1.5231451208125103E-6</v>
      </c>
      <c r="Y3" s="7">
        <f>$B3 * IFERROR(VLOOKUP("transport|NOx|Infant mortality", US_national_yearly!$D:$AM, 33, FALSE) / VLOOKUP("transport|NOx|Infant mortality", US_national_yearly!$D:$AM, 10, FALSE), 1)</f>
        <v>1.513110438686662E-6</v>
      </c>
      <c r="Z3" s="7">
        <f>$B3 * IFERROR(VLOOKUP("transport|NOx|Infant mortality", US_national_yearly!$D:$AM, 34, FALSE) / VLOOKUP("transport|NOx|Infant mortality", US_national_yearly!$D:$AM, 10, FALSE), 1)</f>
        <v>1.5030757565608135E-6</v>
      </c>
      <c r="AA3" s="7">
        <f>$B3 * IFERROR(VLOOKUP("transport|NOx|Infant mortality", US_national_yearly!$D:$AM, 35, FALSE) / VLOOKUP("transport|NOx|Infant mortality", US_national_yearly!$D:$AM, 10, FALSE), 1)</f>
        <v>1.493041074434965E-6</v>
      </c>
      <c r="AB3" s="7">
        <f>$B3 * IFERROR(VLOOKUP("transport|NOx|Infant mortality", US_national_yearly!$D:$AM, 36, FALSE) / VLOOKUP("transport|NOx|Infant mortality", US_national_yearly!$D:$AM, 10, FALSE), 1)</f>
        <v>1.4830063923091166E-6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5.7779586280475729E-3</v>
      </c>
      <c r="C6" s="7">
        <f>$B6 * IFERROR(VLOOKUP("transport|NOx|Asthma symptoms cough", US_national_yearly!$D:$AM, 11, FALSE) / VLOOKUP("transport|NOx|Asthma symptoms cough", US_national_yearly!$D:$AM, 10, FALSE), 1)</f>
        <v>5.8569527690814005E-3</v>
      </c>
      <c r="D6" s="7">
        <f>$B6 * IFERROR(VLOOKUP("transport|NOx|Asthma symptoms cough", US_national_yearly!$D:$AM, 12, FALSE) / VLOOKUP("transport|NOx|Asthma symptoms cough", US_national_yearly!$D:$AM, 10, FALSE), 1)</f>
        <v>5.9359469101152272E-3</v>
      </c>
      <c r="E6" s="7">
        <f>$B6 * IFERROR(VLOOKUP("transport|NOx|Asthma symptoms cough", US_national_yearly!$D:$AM, 13, FALSE) / VLOOKUP("transport|NOx|Asthma symptoms cough", US_national_yearly!$D:$AM, 10, FALSE), 1)</f>
        <v>6.0149410511490548E-3</v>
      </c>
      <c r="F6" s="7">
        <f>$B6 * IFERROR(VLOOKUP("transport|NOx|Asthma symptoms cough", US_national_yearly!$D:$AM, 14, FALSE) / VLOOKUP("transport|NOx|Asthma symptoms cough", US_national_yearly!$D:$AM, 10, FALSE), 1)</f>
        <v>6.0939351921828824E-3</v>
      </c>
      <c r="G6" s="7">
        <f>$B6 * IFERROR(VLOOKUP("transport|NOx|Asthma symptoms cough", US_national_yearly!$D:$AM, 15, FALSE) / VLOOKUP("transport|NOx|Asthma symptoms cough", US_national_yearly!$D:$AM, 10, FALSE), 1)</f>
        <v>6.1570009751129532E-3</v>
      </c>
      <c r="H6" s="7">
        <f>$B6 * IFERROR(VLOOKUP("transport|NOx|Asthma symptoms cough", US_national_yearly!$D:$AM, 16, FALSE) / VLOOKUP("transport|NOx|Asthma symptoms cough", US_national_yearly!$D:$AM, 10, FALSE), 1)</f>
        <v>6.2200667580430248E-3</v>
      </c>
      <c r="I6" s="7">
        <f>$B6 * IFERROR(VLOOKUP("transport|NOx|Asthma symptoms cough", US_national_yearly!$D:$AM, 17, FALSE) / VLOOKUP("transport|NOx|Asthma symptoms cough", US_national_yearly!$D:$AM, 10, FALSE), 1)</f>
        <v>6.2417730989548061E-3</v>
      </c>
      <c r="J6" s="7">
        <f>$B6 * IFERROR(VLOOKUP("transport|NOx|Asthma symptoms cough", US_national_yearly!$D:$AM, 18, FALSE) / VLOOKUP("transport|NOx|Asthma symptoms cough", US_national_yearly!$D:$AM, 10, FALSE), 1)</f>
        <v>6.2634794398665882E-3</v>
      </c>
      <c r="K6" s="7">
        <f>$B6 * IFERROR(VLOOKUP("transport|NOx|Asthma symptoms cough", US_national_yearly!$D:$AM, 19, FALSE) / VLOOKUP("transport|NOx|Asthma symptoms cough", US_national_yearly!$D:$AM, 10, FALSE), 1)</f>
        <v>6.2851857807783695E-3</v>
      </c>
      <c r="L6" s="7">
        <f>$B6 * IFERROR(VLOOKUP("transport|NOx|Asthma symptoms cough", US_national_yearly!$D:$AM, 20, FALSE) / VLOOKUP("transport|NOx|Asthma symptoms cough", US_national_yearly!$D:$AM, 10, FALSE), 1)</f>
        <v>6.3068921216901516E-3</v>
      </c>
      <c r="M6" s="7">
        <f>$B6 * IFERROR(VLOOKUP("transport|NOx|Asthma symptoms cough", US_national_yearly!$D:$AM, 21, FALSE) / VLOOKUP("transport|NOx|Asthma symptoms cough", US_national_yearly!$D:$AM, 10, FALSE), 1)</f>
        <v>6.3285984626019337E-3</v>
      </c>
      <c r="N6" s="7">
        <f>$B6 * IFERROR(VLOOKUP("transport|NOx|Asthma symptoms cough", US_national_yearly!$D:$AM, 22, FALSE) / VLOOKUP("transport|NOx|Asthma symptoms cough", US_national_yearly!$D:$AM, 10, FALSE), 1)</f>
        <v>6.3537685813010855E-3</v>
      </c>
      <c r="O6" s="7">
        <f>$B6 * IFERROR(VLOOKUP("transport|NOx|Asthma symptoms cough", US_national_yearly!$D:$AM, 23, FALSE) / VLOOKUP("transport|NOx|Asthma symptoms cough", US_national_yearly!$D:$AM, 10, FALSE), 1)</f>
        <v>6.3789387000002373E-3</v>
      </c>
      <c r="P6" s="7">
        <f>$B6 * IFERROR(VLOOKUP("transport|NOx|Asthma symptoms cough", US_national_yearly!$D:$AM, 24, FALSE) / VLOOKUP("transport|NOx|Asthma symptoms cough", US_national_yearly!$D:$AM, 10, FALSE), 1)</f>
        <v>6.404108818699389E-3</v>
      </c>
      <c r="Q6" s="7">
        <f>$B6 * IFERROR(VLOOKUP("transport|NOx|Asthma symptoms cough", US_national_yearly!$D:$AM, 25, FALSE) / VLOOKUP("transport|NOx|Asthma symptoms cough", US_national_yearly!$D:$AM, 10, FALSE), 1)</f>
        <v>6.4292789373985425E-3</v>
      </c>
      <c r="R6" s="7">
        <f>$B6 * IFERROR(VLOOKUP("transport|NOx|Asthma symptoms cough", US_national_yearly!$D:$AM, 26, FALSE) / VLOOKUP("transport|NOx|Asthma symptoms cough", US_national_yearly!$D:$AM, 10, FALSE), 1)</f>
        <v>6.4544490560976943E-3</v>
      </c>
      <c r="S6" s="7">
        <f>$B6 * IFERROR(VLOOKUP("transport|NOx|Asthma symptoms cough", US_national_yearly!$D:$AM, 27, FALSE) / VLOOKUP("transport|NOx|Asthma symptoms cough", US_national_yearly!$D:$AM, 10, FALSE), 1)</f>
        <v>6.4873292477421896E-3</v>
      </c>
      <c r="T6" s="7">
        <f>$B6 * IFERROR(VLOOKUP("transport|NOx|Asthma symptoms cough", US_national_yearly!$D:$AM, 28, FALSE) / VLOOKUP("transport|NOx|Asthma symptoms cough", US_national_yearly!$D:$AM, 10, FALSE), 1)</f>
        <v>6.5202094393866841E-3</v>
      </c>
      <c r="U6" s="7">
        <f>$B6 * IFERROR(VLOOKUP("transport|NOx|Asthma symptoms cough", US_national_yearly!$D:$AM, 29, FALSE) / VLOOKUP("transport|NOx|Asthma symptoms cough", US_national_yearly!$D:$AM, 10, FALSE), 1)</f>
        <v>6.5530896310311776E-3</v>
      </c>
      <c r="V6" s="7">
        <f>$B6 * IFERROR(VLOOKUP("transport|NOx|Asthma symptoms cough", US_national_yearly!$D:$AM, 30, FALSE) / VLOOKUP("transport|NOx|Asthma symptoms cough", US_national_yearly!$D:$AM, 10, FALSE), 1)</f>
        <v>6.5859698226756729E-3</v>
      </c>
      <c r="W6" s="7">
        <f>$B6 * IFERROR(VLOOKUP("transport|NOx|Asthma symptoms cough", US_national_yearly!$D:$AM, 31, FALSE) / VLOOKUP("transport|NOx|Asthma symptoms cough", US_national_yearly!$D:$AM, 10, FALSE), 1)</f>
        <v>6.6188500143201674E-3</v>
      </c>
      <c r="X6" s="7">
        <f>$B6 * IFERROR(VLOOKUP("transport|NOx|Asthma symptoms cough", US_national_yearly!$D:$AM, 32, FALSE) / VLOOKUP("transport|NOx|Asthma symptoms cough", US_national_yearly!$D:$AM, 10, FALSE), 1)</f>
        <v>6.6494004367662471E-3</v>
      </c>
      <c r="Y6" s="7">
        <f>$B6 * IFERROR(VLOOKUP("transport|NOx|Asthma symptoms cough", US_national_yearly!$D:$AM, 33, FALSE) / VLOOKUP("transport|NOx|Asthma symptoms cough", US_national_yearly!$D:$AM, 10, FALSE), 1)</f>
        <v>6.6799508592123276E-3</v>
      </c>
      <c r="Z6" s="7">
        <f>$B6 * IFERROR(VLOOKUP("transport|NOx|Asthma symptoms cough", US_national_yearly!$D:$AM, 34, FALSE) / VLOOKUP("transport|NOx|Asthma symptoms cough", US_national_yearly!$D:$AM, 10, FALSE), 1)</f>
        <v>6.7105012816584073E-3</v>
      </c>
      <c r="AA6" s="7">
        <f>$B6 * IFERROR(VLOOKUP("transport|NOx|Asthma symptoms cough", US_national_yearly!$D:$AM, 35, FALSE) / VLOOKUP("transport|NOx|Asthma symptoms cough", US_national_yearly!$D:$AM, 10, FALSE), 1)</f>
        <v>6.7410517041044879E-3</v>
      </c>
      <c r="AB6" s="7">
        <f>$B6 * IFERROR(VLOOKUP("transport|NOx|Asthma symptoms cough", US_national_yearly!$D:$AM, 36, FALSE) / VLOOKUP("transport|NOx|Asthma symptoms cough", US_national_yearly!$D:$AM, 10, FALSE), 1)</f>
        <v>6.7716021265505693E-3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7.780396560898694E-3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7.8867673022478078E-3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7.9931380435969181E-3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8.0995087849460318E-3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8.2058795262951456E-3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8.2908016988817567E-3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8.3757238714683678E-3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8.4049528691008939E-3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8.4341818667334183E-3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8.4634108643659427E-3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8.4926398619984689E-3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8.5218688596309933E-3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8.5557620591042854E-3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8.5896552585775793E-3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8.6235484580508698E-3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8.6574416575241637E-3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8.6913348569974559E-3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8.7356101705376964E-3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8.7798854840779369E-3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8.8241607976181757E-3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8.8684361111584144E-3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8.9127114246986532E-3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8.953849552673105E-3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8.9949876806475568E-3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9.0361258086220086E-3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9.0772639365964605E-3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9.1184020645709123E-3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1.1888778062930589E-2</v>
      </c>
      <c r="C8" s="7">
        <f>$B8 * IFERROR(VLOOKUP("transport|NOx|Asthma symptoms wheeze", US_national_yearly!$D:$AM, 11, FALSE) / VLOOKUP("transport|NOx|Asthma symptoms wheeze", US_national_yearly!$D:$AM, 10, FALSE), 1)</f>
        <v>1.2051317096657695E-2</v>
      </c>
      <c r="D8" s="7">
        <f>$B8 * IFERROR(VLOOKUP("transport|NOx|Asthma symptoms wheeze", US_national_yearly!$D:$AM, 12, FALSE) / VLOOKUP("transport|NOx|Asthma symptoms wheeze", US_national_yearly!$D:$AM, 10, FALSE), 1)</f>
        <v>1.2213856130384804E-2</v>
      </c>
      <c r="E8" s="7">
        <f>$B8 * IFERROR(VLOOKUP("transport|NOx|Asthma symptoms wheeze", US_national_yearly!$D:$AM, 13, FALSE) / VLOOKUP("transport|NOx|Asthma symptoms wheeze", US_national_yearly!$D:$AM, 10, FALSE), 1)</f>
        <v>1.237639516411191E-2</v>
      </c>
      <c r="F8" s="7">
        <f>$B8 * IFERROR(VLOOKUP("transport|NOx|Asthma symptoms wheeze", US_national_yearly!$D:$AM, 14, FALSE) / VLOOKUP("transport|NOx|Asthma symptoms wheeze", US_national_yearly!$D:$AM, 10, FALSE), 1)</f>
        <v>1.2538934197839014E-2</v>
      </c>
      <c r="G8" s="7">
        <f>$B8 * IFERROR(VLOOKUP("transport|NOx|Asthma symptoms wheeze", US_national_yearly!$D:$AM, 15, FALSE) / VLOOKUP("transport|NOx|Asthma symptoms wheeze", US_national_yearly!$D:$AM, 10, FALSE), 1)</f>
        <v>1.2668698903071318E-2</v>
      </c>
      <c r="H8" s="7">
        <f>$B8 * IFERROR(VLOOKUP("transport|NOx|Asthma symptoms wheeze", US_national_yearly!$D:$AM, 16, FALSE) / VLOOKUP("transport|NOx|Asthma symptoms wheeze", US_national_yearly!$D:$AM, 10, FALSE), 1)</f>
        <v>1.2798463608303622E-2</v>
      </c>
      <c r="I8" s="7">
        <f>$B8 * IFERROR(VLOOKUP("transport|NOx|Asthma symptoms wheeze", US_national_yearly!$D:$AM, 17, FALSE) / VLOOKUP("transport|NOx|Asthma symptoms wheeze", US_national_yearly!$D:$AM, 10, FALSE), 1)</f>
        <v>1.2843126764925581E-2</v>
      </c>
      <c r="J8" s="7">
        <f>$B8 * IFERROR(VLOOKUP("transport|NOx|Asthma symptoms wheeze", US_national_yearly!$D:$AM, 18, FALSE) / VLOOKUP("transport|NOx|Asthma symptoms wheeze", US_national_yearly!$D:$AM, 10, FALSE), 1)</f>
        <v>1.2887789921547542E-2</v>
      </c>
      <c r="K8" s="7">
        <f>$B8 * IFERROR(VLOOKUP("transport|NOx|Asthma symptoms wheeze", US_national_yearly!$D:$AM, 19, FALSE) / VLOOKUP("transport|NOx|Asthma symptoms wheeze", US_national_yearly!$D:$AM, 10, FALSE), 1)</f>
        <v>1.2932453078169497E-2</v>
      </c>
      <c r="L8" s="7">
        <f>$B8 * IFERROR(VLOOKUP("transport|NOx|Asthma symptoms wheeze", US_national_yearly!$D:$AM, 20, FALSE) / VLOOKUP("transport|NOx|Asthma symptoms wheeze", US_national_yearly!$D:$AM, 10, FALSE), 1)</f>
        <v>1.2977116234791457E-2</v>
      </c>
      <c r="M8" s="7">
        <f>$B8 * IFERROR(VLOOKUP("transport|NOx|Asthma symptoms wheeze", US_national_yearly!$D:$AM, 21, FALSE) / VLOOKUP("transport|NOx|Asthma symptoms wheeze", US_national_yearly!$D:$AM, 10, FALSE), 1)</f>
        <v>1.3021779391413415E-2</v>
      </c>
      <c r="N8" s="7">
        <f>$B8 * IFERROR(VLOOKUP("transport|NOx|Asthma symptoms wheeze", US_national_yearly!$D:$AM, 22, FALSE) / VLOOKUP("transport|NOx|Asthma symptoms wheeze", US_national_yearly!$D:$AM, 10, FALSE), 1)</f>
        <v>1.3073569647480566E-2</v>
      </c>
      <c r="O8" s="7">
        <f>$B8 * IFERROR(VLOOKUP("transport|NOx|Asthma symptoms wheeze", US_national_yearly!$D:$AM, 23, FALSE) / VLOOKUP("transport|NOx|Asthma symptoms wheeze", US_national_yearly!$D:$AM, 10, FALSE), 1)</f>
        <v>1.3125359903547719E-2</v>
      </c>
      <c r="P8" s="7">
        <f>$B8 * IFERROR(VLOOKUP("transport|NOx|Asthma symptoms wheeze", US_national_yearly!$D:$AM, 24, FALSE) / VLOOKUP("transport|NOx|Asthma symptoms wheeze", US_national_yearly!$D:$AM, 10, FALSE), 1)</f>
        <v>1.317715015961487E-2</v>
      </c>
      <c r="Q8" s="7">
        <f>$B8 * IFERROR(VLOOKUP("transport|NOx|Asthma symptoms wheeze", US_national_yearly!$D:$AM, 25, FALSE) / VLOOKUP("transport|NOx|Asthma symptoms wheeze", US_national_yearly!$D:$AM, 10, FALSE), 1)</f>
        <v>1.3228940415682023E-2</v>
      </c>
      <c r="R8" s="7">
        <f>$B8 * IFERROR(VLOOKUP("transport|NOx|Asthma symptoms wheeze", US_national_yearly!$D:$AM, 26, FALSE) / VLOOKUP("transport|NOx|Asthma symptoms wheeze", US_national_yearly!$D:$AM, 10, FALSE), 1)</f>
        <v>1.3280730671749173E-2</v>
      </c>
      <c r="S8" s="7">
        <f>$B8 * IFERROR(VLOOKUP("transport|NOx|Asthma symptoms wheeze", US_national_yearly!$D:$AM, 27, FALSE) / VLOOKUP("transport|NOx|Asthma symptoms wheeze", US_national_yearly!$D:$AM, 10, FALSE), 1)</f>
        <v>1.3348385241207125E-2</v>
      </c>
      <c r="T8" s="7">
        <f>$B8 * IFERROR(VLOOKUP("transport|NOx|Asthma symptoms wheeze", US_national_yearly!$D:$AM, 28, FALSE) / VLOOKUP("transport|NOx|Asthma symptoms wheeze", US_national_yearly!$D:$AM, 10, FALSE), 1)</f>
        <v>1.3416039810665076E-2</v>
      </c>
      <c r="U8" s="7">
        <f>$B8 * IFERROR(VLOOKUP("transport|NOx|Asthma symptoms wheeze", US_national_yearly!$D:$AM, 29, FALSE) / VLOOKUP("transport|NOx|Asthma symptoms wheeze", US_national_yearly!$D:$AM, 10, FALSE), 1)</f>
        <v>1.3483694380123028E-2</v>
      </c>
      <c r="V8" s="7">
        <f>$B8 * IFERROR(VLOOKUP("transport|NOx|Asthma symptoms wheeze", US_national_yearly!$D:$AM, 30, FALSE) / VLOOKUP("transport|NOx|Asthma symptoms wheeze", US_national_yearly!$D:$AM, 10, FALSE), 1)</f>
        <v>1.3551348949580983E-2</v>
      </c>
      <c r="W8" s="7">
        <f>$B8 * IFERROR(VLOOKUP("transport|NOx|Asthma symptoms wheeze", US_national_yearly!$D:$AM, 31, FALSE) / VLOOKUP("transport|NOx|Asthma symptoms wheeze", US_national_yearly!$D:$AM, 10, FALSE), 1)</f>
        <v>1.3619003519038931E-2</v>
      </c>
      <c r="X8" s="7">
        <f>$B8 * IFERROR(VLOOKUP("transport|NOx|Asthma symptoms wheeze", US_national_yearly!$D:$AM, 32, FALSE) / VLOOKUP("transport|NOx|Asthma symptoms wheeze", US_national_yearly!$D:$AM, 10, FALSE), 1)</f>
        <v>1.3681864335027877E-2</v>
      </c>
      <c r="Y8" s="7">
        <f>$B8 * IFERROR(VLOOKUP("transport|NOx|Asthma symptoms wheeze", US_national_yearly!$D:$AM, 33, FALSE) / VLOOKUP("transport|NOx|Asthma symptoms wheeze", US_national_yearly!$D:$AM, 10, FALSE), 1)</f>
        <v>1.3744725151016822E-2</v>
      </c>
      <c r="Z8" s="7">
        <f>$B8 * IFERROR(VLOOKUP("transport|NOx|Asthma symptoms wheeze", US_national_yearly!$D:$AM, 34, FALSE) / VLOOKUP("transport|NOx|Asthma symptoms wheeze", US_national_yearly!$D:$AM, 10, FALSE), 1)</f>
        <v>1.3807585967005768E-2</v>
      </c>
      <c r="AA8" s="7">
        <f>$B8 * IFERROR(VLOOKUP("transport|NOx|Asthma symptoms wheeze", US_national_yearly!$D:$AM, 35, FALSE) / VLOOKUP("transport|NOx|Asthma symptoms wheeze", US_national_yearly!$D:$AM, 10, FALSE), 1)</f>
        <v>1.3870446782994712E-2</v>
      </c>
      <c r="AB8" s="7">
        <f>$B8 * IFERROR(VLOOKUP("transport|NOx|Asthma symptoms wheeze", US_national_yearly!$D:$AM, 36, FALSE) / VLOOKUP("transport|NOx|Asthma symptoms wheeze", US_national_yearly!$D:$AM, 10, FALSE), 1)</f>
        <v>1.3933307598983658E-2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2.6296956366932822E-4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2.6952925126204661E-4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2.7608893885476511E-4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2.8264862644748355E-4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2.8920831404020205E-4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2.9547959864403009E-4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3.0175088324785814E-4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3.0707533280107237E-4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3.1239978235428649E-4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3.1772423190750071E-4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3.2304868146071494E-4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3.2837313101392911E-4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3.319326214046208E-4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3.354921117953126E-4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3.3905160218600428E-4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3.4261109257669608E-4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3.4617058296738782E-4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3.4807766146770312E-4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3.4998473996801841E-4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3.518918184683337E-4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3.5379889696864888E-4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3.5570597546896423E-4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3.570092158629944E-4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3.5831245625702463E-4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3.596156966510548E-4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3.6091893704508503E-4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3.6222217743911515E-4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1.4657795363686042E-3</v>
      </c>
      <c r="C13" s="7">
        <f>$B13 * IFERROR(VLOOKUP("transport|NOx|Non-fatal heart attacks", US_national_yearly!$D:$AM, 11, FALSE) / VLOOKUP("transport|NOx|Non-fatal heart attacks", US_national_yearly!$D:$AM, 10, FALSE), 1)</f>
        <v>1.5076848818792146E-3</v>
      </c>
      <c r="D13" s="7">
        <f>$B13 * IFERROR(VLOOKUP("transport|NOx|Non-fatal heart attacks", US_national_yearly!$D:$AM, 12, FALSE) / VLOOKUP("transport|NOx|Non-fatal heart attacks", US_national_yearly!$D:$AM, 10, FALSE), 1)</f>
        <v>1.5495902273898248E-3</v>
      </c>
      <c r="E13" s="7">
        <f>$B13 * IFERROR(VLOOKUP("transport|NOx|Non-fatal heart attacks", US_national_yearly!$D:$AM, 13, FALSE) / VLOOKUP("transport|NOx|Non-fatal heart attacks", US_national_yearly!$D:$AM, 10, FALSE), 1)</f>
        <v>1.5914955729004351E-3</v>
      </c>
      <c r="F13" s="7">
        <f>$B13 * IFERROR(VLOOKUP("transport|NOx|Non-fatal heart attacks", US_national_yearly!$D:$AM, 14, FALSE) / VLOOKUP("transport|NOx|Non-fatal heart attacks", US_national_yearly!$D:$AM, 10, FALSE), 1)</f>
        <v>1.6334009184110453E-3</v>
      </c>
      <c r="G13" s="7">
        <f>$B13 * IFERROR(VLOOKUP("transport|NOx|Non-fatal heart attacks", US_national_yearly!$D:$AM, 15, FALSE) / VLOOKUP("transport|NOx|Non-fatal heart attacks", US_national_yearly!$D:$AM, 10, FALSE), 1)</f>
        <v>1.6725613766968568E-3</v>
      </c>
      <c r="H13" s="7">
        <f>$B13 * IFERROR(VLOOKUP("transport|NOx|Non-fatal heart attacks", US_national_yearly!$D:$AM, 16, FALSE) / VLOOKUP("transport|NOx|Non-fatal heart attacks", US_national_yearly!$D:$AM, 10, FALSE), 1)</f>
        <v>1.7117218349826681E-3</v>
      </c>
      <c r="I13" s="7">
        <f>$B13 * IFERROR(VLOOKUP("transport|NOx|Non-fatal heart attacks", US_national_yearly!$D:$AM, 17, FALSE) / VLOOKUP("transport|NOx|Non-fatal heart attacks", US_national_yearly!$D:$AM, 10, FALSE), 1)</f>
        <v>1.742595379873229E-3</v>
      </c>
      <c r="J13" s="7">
        <f>$B13 * IFERROR(VLOOKUP("transport|NOx|Non-fatal heart attacks", US_national_yearly!$D:$AM, 18, FALSE) / VLOOKUP("transport|NOx|Non-fatal heart attacks", US_national_yearly!$D:$AM, 10, FALSE), 1)</f>
        <v>1.7734689247637906E-3</v>
      </c>
      <c r="K13" s="7">
        <f>$B13 * IFERROR(VLOOKUP("transport|NOx|Non-fatal heart attacks", US_national_yearly!$D:$AM, 19, FALSE) / VLOOKUP("transport|NOx|Non-fatal heart attacks", US_national_yearly!$D:$AM, 10, FALSE), 1)</f>
        <v>1.8043424696543506E-3</v>
      </c>
      <c r="L13" s="7">
        <f>$B13 * IFERROR(VLOOKUP("transport|NOx|Non-fatal heart attacks", US_national_yearly!$D:$AM, 20, FALSE) / VLOOKUP("transport|NOx|Non-fatal heart attacks", US_national_yearly!$D:$AM, 10, FALSE), 1)</f>
        <v>1.8352160145449128E-3</v>
      </c>
      <c r="M13" s="7">
        <f>$B13 * IFERROR(VLOOKUP("transport|NOx|Non-fatal heart attacks", US_national_yearly!$D:$AM, 21, FALSE) / VLOOKUP("transport|NOx|Non-fatal heart attacks", US_national_yearly!$D:$AM, 10, FALSE), 1)</f>
        <v>1.8660895594354735E-3</v>
      </c>
      <c r="N13" s="7">
        <f>$B13 * IFERROR(VLOOKUP("transport|NOx|Non-fatal heart attacks", US_national_yearly!$D:$AM, 22, FALSE) / VLOOKUP("transport|NOx|Non-fatal heart attacks", US_national_yearly!$D:$AM, 10, FALSE), 1)</f>
        <v>1.8846640203305943E-3</v>
      </c>
      <c r="O13" s="7">
        <f>$B13 * IFERROR(VLOOKUP("transport|NOx|Non-fatal heart attacks", US_national_yearly!$D:$AM, 23, FALSE) / VLOOKUP("transport|NOx|Non-fatal heart attacks", US_national_yearly!$D:$AM, 10, FALSE), 1)</f>
        <v>1.9032384812257149E-3</v>
      </c>
      <c r="P13" s="7">
        <f>$B13 * IFERROR(VLOOKUP("transport|NOx|Non-fatal heart attacks", US_national_yearly!$D:$AM, 24, FALSE) / VLOOKUP("transport|NOx|Non-fatal heart attacks", US_national_yearly!$D:$AM, 10, FALSE), 1)</f>
        <v>1.9218129421208353E-3</v>
      </c>
      <c r="Q13" s="7">
        <f>$B13 * IFERROR(VLOOKUP("transport|NOx|Non-fatal heart attacks", US_national_yearly!$D:$AM, 25, FALSE) / VLOOKUP("transport|NOx|Non-fatal heart attacks", US_national_yearly!$D:$AM, 10, FALSE), 1)</f>
        <v>1.9403874030159563E-3</v>
      </c>
      <c r="R13" s="7">
        <f>$B13 * IFERROR(VLOOKUP("transport|NOx|Non-fatal heart attacks", US_national_yearly!$D:$AM, 26, FALSE) / VLOOKUP("transport|NOx|Non-fatal heart attacks", US_national_yearly!$D:$AM, 10, FALSE), 1)</f>
        <v>1.9589618639110772E-3</v>
      </c>
      <c r="S13" s="7">
        <f>$B13 * IFERROR(VLOOKUP("transport|NOx|Non-fatal heart attacks", US_national_yearly!$D:$AM, 27, FALSE) / VLOOKUP("transport|NOx|Non-fatal heart attacks", US_national_yearly!$D:$AM, 10, FALSE), 1)</f>
        <v>1.9673873678409852E-3</v>
      </c>
      <c r="T13" s="7">
        <f>$B13 * IFERROR(VLOOKUP("transport|NOx|Non-fatal heart attacks", US_national_yearly!$D:$AM, 28, FALSE) / VLOOKUP("transport|NOx|Non-fatal heart attacks", US_national_yearly!$D:$AM, 10, FALSE), 1)</f>
        <v>1.9758128717708937E-3</v>
      </c>
      <c r="U13" s="7">
        <f>$B13 * IFERROR(VLOOKUP("transport|NOx|Non-fatal heart attacks", US_national_yearly!$D:$AM, 29, FALSE) / VLOOKUP("transport|NOx|Non-fatal heart attacks", US_national_yearly!$D:$AM, 10, FALSE), 1)</f>
        <v>1.9842383757008018E-3</v>
      </c>
      <c r="V13" s="7">
        <f>$B13 * IFERROR(VLOOKUP("transport|NOx|Non-fatal heart attacks", US_national_yearly!$D:$AM, 30, FALSE) / VLOOKUP("transport|NOx|Non-fatal heart attacks", US_national_yearly!$D:$AM, 10, FALSE), 1)</f>
        <v>1.9926638796307098E-3</v>
      </c>
      <c r="W13" s="7">
        <f>$B13 * IFERROR(VLOOKUP("transport|NOx|Non-fatal heart attacks", US_national_yearly!$D:$AM, 31, FALSE) / VLOOKUP("transport|NOx|Non-fatal heart attacks", US_national_yearly!$D:$AM, 10, FALSE), 1)</f>
        <v>2.0010893835606183E-3</v>
      </c>
      <c r="X13" s="7">
        <f>$B13 * IFERROR(VLOOKUP("transport|NOx|Non-fatal heart attacks", US_national_yearly!$D:$AM, 32, FALSE) / VLOOKUP("transport|NOx|Non-fatal heart attacks", US_national_yearly!$D:$AM, 10, FALSE), 1)</f>
        <v>2.0067197486215221E-3</v>
      </c>
      <c r="Y13" s="7">
        <f>$B13 * IFERROR(VLOOKUP("transport|NOx|Non-fatal heart attacks", US_national_yearly!$D:$AM, 33, FALSE) / VLOOKUP("transport|NOx|Non-fatal heart attacks", US_national_yearly!$D:$AM, 10, FALSE), 1)</f>
        <v>2.0123501136824267E-3</v>
      </c>
      <c r="Z13" s="7">
        <f>$B13 * IFERROR(VLOOKUP("transport|NOx|Non-fatal heart attacks", US_national_yearly!$D:$AM, 34, FALSE) / VLOOKUP("transport|NOx|Non-fatal heart attacks", US_national_yearly!$D:$AM, 10, FALSE), 1)</f>
        <v>2.0179804787433305E-3</v>
      </c>
      <c r="AA13" s="7">
        <f>$B13 * IFERROR(VLOOKUP("transport|NOx|Non-fatal heart attacks", US_national_yearly!$D:$AM, 35, FALSE) / VLOOKUP("transport|NOx|Non-fatal heart attacks", US_national_yearly!$D:$AM, 10, FALSE), 1)</f>
        <v>2.0236108438042343E-3</v>
      </c>
      <c r="AB13" s="7">
        <f>$B13 * IFERROR(VLOOKUP("transport|NOx|Non-fatal heart attacks", US_national_yearly!$D:$AM, 36, FALSE) / VLOOKUP("transport|NOx|Non-fatal heart attacks", US_national_yearly!$D:$AM, 10, FALSE), 1)</f>
        <v>2.0292412088651389E-3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0.82029120138779066</v>
      </c>
      <c r="C14" s="7">
        <f>$B14 * IFERROR(VLOOKUP("transport|NOx|Minor restricted activity days", US_national_yearly!$D:$AM, 11, FALSE) / VLOOKUP("transport|NOx|Minor restricted activity days", US_national_yearly!$D:$AM, 10, FALSE), 1)</f>
        <v>0.82154884545965745</v>
      </c>
      <c r="D14" s="7">
        <f>$B14 * IFERROR(VLOOKUP("transport|NOx|Minor restricted activity days", US_national_yearly!$D:$AM, 12, FALSE) / VLOOKUP("transport|NOx|Minor restricted activity days", US_national_yearly!$D:$AM, 10, FALSE), 1)</f>
        <v>0.82280648953152447</v>
      </c>
      <c r="E14" s="7">
        <f>$B14 * IFERROR(VLOOKUP("transport|NOx|Minor restricted activity days", US_national_yearly!$D:$AM, 13, FALSE) / VLOOKUP("transport|NOx|Minor restricted activity days", US_national_yearly!$D:$AM, 10, FALSE), 1)</f>
        <v>0.82406413360339148</v>
      </c>
      <c r="F14" s="7">
        <f>$B14 * IFERROR(VLOOKUP("transport|NOx|Minor restricted activity days", US_national_yearly!$D:$AM, 14, FALSE) / VLOOKUP("transport|NOx|Minor restricted activity days", US_national_yearly!$D:$AM, 10, FALSE), 1)</f>
        <v>0.82532177767525827</v>
      </c>
      <c r="G14" s="7">
        <f>$B14 * IFERROR(VLOOKUP("transport|NOx|Minor restricted activity days", US_national_yearly!$D:$AM, 15, FALSE) / VLOOKUP("transport|NOx|Minor restricted activity days", US_national_yearly!$D:$AM, 10, FALSE), 1)</f>
        <v>0.82759278352403842</v>
      </c>
      <c r="H14" s="7">
        <f>$B14 * IFERROR(VLOOKUP("transport|NOx|Minor restricted activity days", US_national_yearly!$D:$AM, 16, FALSE) / VLOOKUP("transport|NOx|Minor restricted activity days", US_national_yearly!$D:$AM, 10, FALSE), 1)</f>
        <v>0.82986378937281846</v>
      </c>
      <c r="I14" s="7">
        <f>$B14 * IFERROR(VLOOKUP("transport|NOx|Minor restricted activity days", US_national_yearly!$D:$AM, 17, FALSE) / VLOOKUP("transport|NOx|Minor restricted activity days", US_national_yearly!$D:$AM, 10, FALSE), 1)</f>
        <v>0.8343057870081686</v>
      </c>
      <c r="J14" s="7">
        <f>$B14 * IFERROR(VLOOKUP("transport|NOx|Minor restricted activity days", US_national_yearly!$D:$AM, 18, FALSE) / VLOOKUP("transport|NOx|Minor restricted activity days", US_national_yearly!$D:$AM, 10, FALSE), 1)</f>
        <v>0.83874778464351851</v>
      </c>
      <c r="K14" s="7">
        <f>$B14 * IFERROR(VLOOKUP("transport|NOx|Minor restricted activity days", US_national_yearly!$D:$AM, 19, FALSE) / VLOOKUP("transport|NOx|Minor restricted activity days", US_national_yearly!$D:$AM, 10, FALSE), 1)</f>
        <v>0.84318978227886865</v>
      </c>
      <c r="L14" s="7">
        <f>$B14 * IFERROR(VLOOKUP("transport|NOx|Minor restricted activity days", US_national_yearly!$D:$AM, 20, FALSE) / VLOOKUP("transport|NOx|Minor restricted activity days", US_national_yearly!$D:$AM, 10, FALSE), 1)</f>
        <v>0.84763177991421867</v>
      </c>
      <c r="M14" s="7">
        <f>$B14 * IFERROR(VLOOKUP("transport|NOx|Minor restricted activity days", US_national_yearly!$D:$AM, 21, FALSE) / VLOOKUP("transport|NOx|Minor restricted activity days", US_national_yearly!$D:$AM, 10, FALSE), 1)</f>
        <v>0.85207377754956881</v>
      </c>
      <c r="N14" s="7">
        <f>$B14 * IFERROR(VLOOKUP("transport|NOx|Minor restricted activity days", US_national_yearly!$D:$AM, 22, FALSE) / VLOOKUP("transport|NOx|Minor restricted activity days", US_national_yearly!$D:$AM, 10, FALSE), 1)</f>
        <v>0.85843371096224175</v>
      </c>
      <c r="O14" s="7">
        <f>$B14 * IFERROR(VLOOKUP("transport|NOx|Minor restricted activity days", US_national_yearly!$D:$AM, 23, FALSE) / VLOOKUP("transport|NOx|Minor restricted activity days", US_national_yearly!$D:$AM, 10, FALSE), 1)</f>
        <v>0.86479364437491468</v>
      </c>
      <c r="P14" s="7">
        <f>$B14 * IFERROR(VLOOKUP("transport|NOx|Minor restricted activity days", US_national_yearly!$D:$AM, 24, FALSE) / VLOOKUP("transport|NOx|Minor restricted activity days", US_national_yearly!$D:$AM, 10, FALSE), 1)</f>
        <v>0.87115357778758762</v>
      </c>
      <c r="Q14" s="7">
        <f>$B14 * IFERROR(VLOOKUP("transport|NOx|Minor restricted activity days", US_national_yearly!$D:$AM, 25, FALSE) / VLOOKUP("transport|NOx|Minor restricted activity days", US_national_yearly!$D:$AM, 10, FALSE), 1)</f>
        <v>0.87751351120026055</v>
      </c>
      <c r="R14" s="7">
        <f>$B14 * IFERROR(VLOOKUP("transport|NOx|Minor restricted activity days", US_national_yearly!$D:$AM, 26, FALSE) / VLOOKUP("transport|NOx|Minor restricted activity days", US_national_yearly!$D:$AM, 10, FALSE), 1)</f>
        <v>0.88387344461293349</v>
      </c>
      <c r="S14" s="7">
        <f>$B14 * IFERROR(VLOOKUP("transport|NOx|Minor restricted activity days", US_national_yearly!$D:$AM, 27, FALSE) / VLOOKUP("transport|NOx|Minor restricted activity days", US_national_yearly!$D:$AM, 10, FALSE), 1)</f>
        <v>0.89023204086321883</v>
      </c>
      <c r="T14" s="7">
        <f>$B14 * IFERROR(VLOOKUP("transport|NOx|Minor restricted activity days", US_national_yearly!$D:$AM, 28, FALSE) / VLOOKUP("transport|NOx|Minor restricted activity days", US_national_yearly!$D:$AM, 10, FALSE), 1)</f>
        <v>0.89659063711350395</v>
      </c>
      <c r="U14" s="7">
        <f>$B14 * IFERROR(VLOOKUP("transport|NOx|Minor restricted activity days", US_national_yearly!$D:$AM, 29, FALSE) / VLOOKUP("transport|NOx|Minor restricted activity days", US_national_yearly!$D:$AM, 10, FALSE), 1)</f>
        <v>0.90294923336378941</v>
      </c>
      <c r="V14" s="7">
        <f>$B14 * IFERROR(VLOOKUP("transport|NOx|Minor restricted activity days", US_national_yearly!$D:$AM, 30, FALSE) / VLOOKUP("transport|NOx|Minor restricted activity days", US_national_yearly!$D:$AM, 10, FALSE), 1)</f>
        <v>0.90930782961407475</v>
      </c>
      <c r="W14" s="7">
        <f>$B14 * IFERROR(VLOOKUP("transport|NOx|Minor restricted activity days", US_national_yearly!$D:$AM, 31, FALSE) / VLOOKUP("transport|NOx|Minor restricted activity days", US_national_yearly!$D:$AM, 10, FALSE), 1)</f>
        <v>0.91566642586435987</v>
      </c>
      <c r="X14" s="7">
        <f>$B14 * IFERROR(VLOOKUP("transport|NOx|Minor restricted activity days", US_national_yearly!$D:$AM, 32, FALSE) / VLOOKUP("transport|NOx|Minor restricted activity days", US_national_yearly!$D:$AM, 10, FALSE), 1)</f>
        <v>0.92104237675797518</v>
      </c>
      <c r="Y14" s="7">
        <f>$B14 * IFERROR(VLOOKUP("transport|NOx|Minor restricted activity days", US_national_yearly!$D:$AM, 33, FALSE) / VLOOKUP("transport|NOx|Minor restricted activity days", US_national_yearly!$D:$AM, 10, FALSE), 1)</f>
        <v>0.92641832765159049</v>
      </c>
      <c r="Z14" s="7">
        <f>$B14 * IFERROR(VLOOKUP("transport|NOx|Minor restricted activity days", US_national_yearly!$D:$AM, 34, FALSE) / VLOOKUP("transport|NOx|Minor restricted activity days", US_national_yearly!$D:$AM, 10, FALSE), 1)</f>
        <v>0.9317942785452058</v>
      </c>
      <c r="AA14" s="7">
        <f>$B14 * IFERROR(VLOOKUP("transport|NOx|Minor restricted activity days", US_national_yearly!$D:$AM, 35, FALSE) / VLOOKUP("transport|NOx|Minor restricted activity days", US_national_yearly!$D:$AM, 10, FALSE), 1)</f>
        <v>0.937170229438821</v>
      </c>
      <c r="AB14" s="7">
        <f>$B14 * IFERROR(VLOOKUP("transport|NOx|Minor restricted activity days", US_national_yearly!$D:$AM, 36, FALSE) / VLOOKUP("transport|NOx|Minor restricted activity days", US_national_yearly!$D:$AM, 10, FALSE), 1)</f>
        <v>0.94254618033243631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0.13859304189942487</v>
      </c>
      <c r="C15" s="7">
        <f>$B15 * IFERROR(VLOOKUP("transport|NOx|Work loss days", US_national_yearly!$D:$AM, 11, FALSE) / VLOOKUP("transport|NOx|Work loss days", US_national_yearly!$D:$AM, 10, FALSE), 1)</f>
        <v>0.13890133466529545</v>
      </c>
      <c r="D15" s="7">
        <f>$B15 * IFERROR(VLOOKUP("transport|NOx|Work loss days", US_national_yearly!$D:$AM, 12, FALSE) / VLOOKUP("transport|NOx|Work loss days", US_national_yearly!$D:$AM, 10, FALSE), 1)</f>
        <v>0.13920962743116608</v>
      </c>
      <c r="E15" s="7">
        <f>$B15 * IFERROR(VLOOKUP("transport|NOx|Work loss days", US_national_yearly!$D:$AM, 13, FALSE) / VLOOKUP("transport|NOx|Work loss days", US_national_yearly!$D:$AM, 10, FALSE), 1)</f>
        <v>0.13951792019703665</v>
      </c>
      <c r="F15" s="7">
        <f>$B15 * IFERROR(VLOOKUP("transport|NOx|Work loss days", US_national_yearly!$D:$AM, 14, FALSE) / VLOOKUP("transport|NOx|Work loss days", US_national_yearly!$D:$AM, 10, FALSE), 1)</f>
        <v>0.13982621296290729</v>
      </c>
      <c r="G15" s="7">
        <f>$B15 * IFERROR(VLOOKUP("transport|NOx|Work loss days", US_national_yearly!$D:$AM, 15, FALSE) / VLOOKUP("transport|NOx|Work loss days", US_national_yearly!$D:$AM, 10, FALSE), 1)</f>
        <v>0.14027632303095253</v>
      </c>
      <c r="H15" s="7">
        <f>$B15 * IFERROR(VLOOKUP("transport|NOx|Work loss days", US_national_yearly!$D:$AM, 16, FALSE) / VLOOKUP("transport|NOx|Work loss days", US_national_yearly!$D:$AM, 10, FALSE), 1)</f>
        <v>0.14072643309899779</v>
      </c>
      <c r="I15" s="7">
        <f>$B15 * IFERROR(VLOOKUP("transport|NOx|Work loss days", US_national_yearly!$D:$AM, 17, FALSE) / VLOOKUP("transport|NOx|Work loss days", US_national_yearly!$D:$AM, 10, FALSE), 1)</f>
        <v>0.14145558701496833</v>
      </c>
      <c r="J15" s="7">
        <f>$B15 * IFERROR(VLOOKUP("transport|NOx|Work loss days", US_national_yearly!$D:$AM, 18, FALSE) / VLOOKUP("transport|NOx|Work loss days", US_national_yearly!$D:$AM, 10, FALSE), 1)</f>
        <v>0.14218474093093889</v>
      </c>
      <c r="K15" s="7">
        <f>$B15 * IFERROR(VLOOKUP("transport|NOx|Work loss days", US_national_yearly!$D:$AM, 19, FALSE) / VLOOKUP("transport|NOx|Work loss days", US_national_yearly!$D:$AM, 10, FALSE), 1)</f>
        <v>0.14291389484690942</v>
      </c>
      <c r="L15" s="7">
        <f>$B15 * IFERROR(VLOOKUP("transport|NOx|Work loss days", US_national_yearly!$D:$AM, 20, FALSE) / VLOOKUP("transport|NOx|Work loss days", US_national_yearly!$D:$AM, 10, FALSE), 1)</f>
        <v>0.14364304876287992</v>
      </c>
      <c r="M15" s="7">
        <f>$B15 * IFERROR(VLOOKUP("transport|NOx|Work loss days", US_national_yearly!$D:$AM, 21, FALSE) / VLOOKUP("transport|NOx|Work loss days", US_national_yearly!$D:$AM, 10, FALSE), 1)</f>
        <v>0.14437220267885048</v>
      </c>
      <c r="N15" s="7">
        <f>$B15 * IFERROR(VLOOKUP("transport|NOx|Work loss days", US_national_yearly!$D:$AM, 22, FALSE) / VLOOKUP("transport|NOx|Work loss days", US_national_yearly!$D:$AM, 10, FALSE), 1)</f>
        <v>0.14532115175760885</v>
      </c>
      <c r="O15" s="7">
        <f>$B15 * IFERROR(VLOOKUP("transport|NOx|Work loss days", US_national_yearly!$D:$AM, 23, FALSE) / VLOOKUP("transport|NOx|Work loss days", US_national_yearly!$D:$AM, 10, FALSE), 1)</f>
        <v>0.14627010083636724</v>
      </c>
      <c r="P15" s="7">
        <f>$B15 * IFERROR(VLOOKUP("transport|NOx|Work loss days", US_national_yearly!$D:$AM, 24, FALSE) / VLOOKUP("transport|NOx|Work loss days", US_national_yearly!$D:$AM, 10, FALSE), 1)</f>
        <v>0.1472190499151256</v>
      </c>
      <c r="Q15" s="7">
        <f>$B15 * IFERROR(VLOOKUP("transport|NOx|Work loss days", US_national_yearly!$D:$AM, 25, FALSE) / VLOOKUP("transport|NOx|Work loss days", US_national_yearly!$D:$AM, 10, FALSE), 1)</f>
        <v>0.14816799899388394</v>
      </c>
      <c r="R15" s="7">
        <f>$B15 * IFERROR(VLOOKUP("transport|NOx|Work loss days", US_national_yearly!$D:$AM, 26, FALSE) / VLOOKUP("transport|NOx|Work loss days", US_national_yearly!$D:$AM, 10, FALSE), 1)</f>
        <v>0.14911694807264236</v>
      </c>
      <c r="S15" s="7">
        <f>$B15 * IFERROR(VLOOKUP("transport|NOx|Work loss days", US_national_yearly!$D:$AM, 27, FALSE) / VLOOKUP("transport|NOx|Work loss days", US_national_yearly!$D:$AM, 10, FALSE), 1)</f>
        <v>0.15017490496092639</v>
      </c>
      <c r="T15" s="7">
        <f>$B15 * IFERROR(VLOOKUP("transport|NOx|Work loss days", US_national_yearly!$D:$AM, 28, FALSE) / VLOOKUP("transport|NOx|Work loss days", US_national_yearly!$D:$AM, 10, FALSE), 1)</f>
        <v>0.15123286184921042</v>
      </c>
      <c r="U15" s="7">
        <f>$B15 * IFERROR(VLOOKUP("transport|NOx|Work loss days", US_national_yearly!$D:$AM, 29, FALSE) / VLOOKUP("transport|NOx|Work loss days", US_national_yearly!$D:$AM, 10, FALSE), 1)</f>
        <v>0.15229081873749442</v>
      </c>
      <c r="V15" s="7">
        <f>$B15 * IFERROR(VLOOKUP("transport|NOx|Work loss days", US_national_yearly!$D:$AM, 30, FALSE) / VLOOKUP("transport|NOx|Work loss days", US_national_yearly!$D:$AM, 10, FALSE), 1)</f>
        <v>0.15334877562577845</v>
      </c>
      <c r="W15" s="7">
        <f>$B15 * IFERROR(VLOOKUP("transport|NOx|Work loss days", US_national_yearly!$D:$AM, 31, FALSE) / VLOOKUP("transport|NOx|Work loss days", US_national_yearly!$D:$AM, 10, FALSE), 1)</f>
        <v>0.15440673251406248</v>
      </c>
      <c r="X15" s="7">
        <f>$B15 * IFERROR(VLOOKUP("transport|NOx|Work loss days", US_national_yearly!$D:$AM, 32, FALSE) / VLOOKUP("transport|NOx|Work loss days", US_national_yearly!$D:$AM, 10, FALSE), 1)</f>
        <v>0.15532498268628006</v>
      </c>
      <c r="Y15" s="7">
        <f>$B15 * IFERROR(VLOOKUP("transport|NOx|Work loss days", US_national_yearly!$D:$AM, 33, FALSE) / VLOOKUP("transport|NOx|Work loss days", US_national_yearly!$D:$AM, 10, FALSE), 1)</f>
        <v>0.15624323285849764</v>
      </c>
      <c r="Z15" s="7">
        <f>$B15 * IFERROR(VLOOKUP("transport|NOx|Work loss days", US_national_yearly!$D:$AM, 34, FALSE) / VLOOKUP("transport|NOx|Work loss days", US_national_yearly!$D:$AM, 10, FALSE), 1)</f>
        <v>0.15716148303071523</v>
      </c>
      <c r="AA15" s="7">
        <f>$B15 * IFERROR(VLOOKUP("transport|NOx|Work loss days", US_national_yearly!$D:$AM, 35, FALSE) / VLOOKUP("transport|NOx|Work loss days", US_national_yearly!$D:$AM, 10, FALSE), 1)</f>
        <v>0.15807973320293281</v>
      </c>
      <c r="AB15" s="7">
        <f>$B15 * IFERROR(VLOOKUP("transport|NOx|Work loss days", US_national_yearly!$D:$AM, 36, FALSE) / VLOOKUP("transport|NOx|Work loss days", US_national_yearly!$D:$AM, 10, FALSE), 1)</f>
        <v>0.15899798337515039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3.836699596526591E-4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3.949439601177405E-4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4.0621796058282184E-4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4.1749196104790313E-4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4.2876596151298458E-4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4.394743975215114E-4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4.5018283353003827E-4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4.5918780210399955E-4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4.6819277067796077E-4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4.77197739251922E-4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4.8620270782588322E-4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4.9520767639984456E-4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5.0083878162684753E-4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5.0646988685385062E-4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5.1210099208085359E-4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5.1773209730785667E-4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5.2336320253485965E-4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5.2593252121708469E-4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5.2850183989930984E-4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5.3107115858153477E-4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5.3364047726375992E-4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5.3620979594598496E-4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5.3763971086993238E-4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5.390696257938797E-4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5.4049954071782712E-4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5.4192945564177444E-4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5.4335937056572187E-4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1.2901943598476477E-2</v>
      </c>
      <c r="C2" s="7">
        <f>$B2 * IFERROR(VLOOKUP("transport|SO2|Premature mortality", US_national_yearly!$D:$AM, 11, FALSE) / VLOOKUP("transport|SO2|Premature mortality", US_national_yearly!$D:$AM, 10, FALSE), 1)</f>
        <v>1.3065339733368412E-2</v>
      </c>
      <c r="D2" s="7">
        <f>$B2 * IFERROR(VLOOKUP("transport|SO2|Premature mortality", US_national_yearly!$D:$AM, 12, FALSE) / VLOOKUP("transport|SO2|Premature mortality", US_national_yearly!$D:$AM, 10, FALSE), 1)</f>
        <v>1.3228735868260349E-2</v>
      </c>
      <c r="E2" s="7">
        <f>$B2 * IFERROR(VLOOKUP("transport|SO2|Premature mortality", US_national_yearly!$D:$AM, 13, FALSE) / VLOOKUP("transport|SO2|Premature mortality", US_national_yearly!$D:$AM, 10, FALSE), 1)</f>
        <v>1.3392132003152283E-2</v>
      </c>
      <c r="F2" s="7">
        <f>$B2 * IFERROR(VLOOKUP("transport|SO2|Premature mortality", US_national_yearly!$D:$AM, 14, FALSE) / VLOOKUP("transport|SO2|Premature mortality", US_national_yearly!$D:$AM, 10, FALSE), 1)</f>
        <v>1.3555528138044217E-2</v>
      </c>
      <c r="G2" s="7">
        <f>$B2 * IFERROR(VLOOKUP("transport|SO2|Premature mortality", US_national_yearly!$D:$AM, 15, FALSE) / VLOOKUP("transport|SO2|Premature mortality", US_national_yearly!$D:$AM, 10, FALSE), 1)</f>
        <v>1.387038322969265E-2</v>
      </c>
      <c r="H2" s="7">
        <f>$B2 * IFERROR(VLOOKUP("transport|SO2|Premature mortality", US_national_yearly!$D:$AM, 16, FALSE) / VLOOKUP("transport|SO2|Premature mortality", US_national_yearly!$D:$AM, 10, FALSE), 1)</f>
        <v>1.418523832134108E-2</v>
      </c>
      <c r="I2" s="7">
        <f>$B2 * IFERROR(VLOOKUP("transport|SO2|Premature mortality", US_national_yearly!$D:$AM, 17, FALSE) / VLOOKUP("transport|SO2|Premature mortality", US_national_yearly!$D:$AM, 10, FALSE), 1)</f>
        <v>1.4393313858339366E-2</v>
      </c>
      <c r="J2" s="7">
        <f>$B2 * IFERROR(VLOOKUP("transport|SO2|Premature mortality", US_national_yearly!$D:$AM, 18, FALSE) / VLOOKUP("transport|SO2|Premature mortality", US_national_yearly!$D:$AM, 10, FALSE), 1)</f>
        <v>1.4601389395337653E-2</v>
      </c>
      <c r="K2" s="7">
        <f>$B2 * IFERROR(VLOOKUP("transport|SO2|Premature mortality", US_national_yearly!$D:$AM, 19, FALSE) / VLOOKUP("transport|SO2|Premature mortality", US_national_yearly!$D:$AM, 10, FALSE), 1)</f>
        <v>1.4809464932335935E-2</v>
      </c>
      <c r="L2" s="7">
        <f>$B2 * IFERROR(VLOOKUP("transport|SO2|Premature mortality", US_national_yearly!$D:$AM, 20, FALSE) / VLOOKUP("transport|SO2|Premature mortality", US_national_yearly!$D:$AM, 10, FALSE), 1)</f>
        <v>1.5017540469334222E-2</v>
      </c>
      <c r="M2" s="7">
        <f>$B2 * IFERROR(VLOOKUP("transport|SO2|Premature mortality", US_national_yearly!$D:$AM, 21, FALSE) / VLOOKUP("transport|SO2|Premature mortality", US_national_yearly!$D:$AM, 10, FALSE), 1)</f>
        <v>1.5225616006332508E-2</v>
      </c>
      <c r="N2" s="7">
        <f>$B2 * IFERROR(VLOOKUP("transport|SO2|Premature mortality", US_national_yearly!$D:$AM, 22, FALSE) / VLOOKUP("transport|SO2|Premature mortality", US_national_yearly!$D:$AM, 10, FALSE), 1)</f>
        <v>1.5388194944358478E-2</v>
      </c>
      <c r="O2" s="7">
        <f>$B2 * IFERROR(VLOOKUP("transport|SO2|Premature mortality", US_national_yearly!$D:$AM, 23, FALSE) / VLOOKUP("transport|SO2|Premature mortality", US_national_yearly!$D:$AM, 10, FALSE), 1)</f>
        <v>1.5550773882384447E-2</v>
      </c>
      <c r="P2" s="7">
        <f>$B2 * IFERROR(VLOOKUP("transport|SO2|Premature mortality", US_national_yearly!$D:$AM, 24, FALSE) / VLOOKUP("transport|SO2|Premature mortality", US_national_yearly!$D:$AM, 10, FALSE), 1)</f>
        <v>1.5713352820410417E-2</v>
      </c>
      <c r="Q2" s="7">
        <f>$B2 * IFERROR(VLOOKUP("transport|SO2|Premature mortality", US_national_yearly!$D:$AM, 25, FALSE) / VLOOKUP("transport|SO2|Premature mortality", US_national_yearly!$D:$AM, 10, FALSE), 1)</f>
        <v>1.5875931758436386E-2</v>
      </c>
      <c r="R2" s="7">
        <f>$B2 * IFERROR(VLOOKUP("transport|SO2|Premature mortality", US_national_yearly!$D:$AM, 26, FALSE) / VLOOKUP("transport|SO2|Premature mortality", US_national_yearly!$D:$AM, 10, FALSE), 1)</f>
        <v>1.6038510696462352E-2</v>
      </c>
      <c r="S2" s="7">
        <f>$B2 * IFERROR(VLOOKUP("transport|SO2|Premature mortality", US_national_yearly!$D:$AM, 27, FALSE) / VLOOKUP("transport|SO2|Premature mortality", US_national_yearly!$D:$AM, 10, FALSE), 1)</f>
        <v>1.6125573882546214E-2</v>
      </c>
      <c r="T2" s="7">
        <f>$B2 * IFERROR(VLOOKUP("transport|SO2|Premature mortality", US_national_yearly!$D:$AM, 28, FALSE) / VLOOKUP("transport|SO2|Premature mortality", US_national_yearly!$D:$AM, 10, FALSE), 1)</f>
        <v>1.6212637068630069E-2</v>
      </c>
      <c r="U2" s="7">
        <f>$B2 * IFERROR(VLOOKUP("transport|SO2|Premature mortality", US_national_yearly!$D:$AM, 29, FALSE) / VLOOKUP("transport|SO2|Premature mortality", US_national_yearly!$D:$AM, 10, FALSE), 1)</f>
        <v>1.6299700254713927E-2</v>
      </c>
      <c r="V2" s="7">
        <f>$B2 * IFERROR(VLOOKUP("transport|SO2|Premature mortality", US_national_yearly!$D:$AM, 30, FALSE) / VLOOKUP("transport|SO2|Premature mortality", US_national_yearly!$D:$AM, 10, FALSE), 1)</f>
        <v>1.6386763440797786E-2</v>
      </c>
      <c r="W2" s="7">
        <f>$B2 * IFERROR(VLOOKUP("transport|SO2|Premature mortality", US_national_yearly!$D:$AM, 31, FALSE) / VLOOKUP("transport|SO2|Premature mortality", US_national_yearly!$D:$AM, 10, FALSE), 1)</f>
        <v>1.6473826626881644E-2</v>
      </c>
      <c r="X2" s="7">
        <f>$B2 * IFERROR(VLOOKUP("transport|SO2|Premature mortality", US_national_yearly!$D:$AM, 32, FALSE) / VLOOKUP("transport|SO2|Premature mortality", US_national_yearly!$D:$AM, 10, FALSE), 1)</f>
        <v>1.6491513779440841E-2</v>
      </c>
      <c r="Y2" s="7">
        <f>$B2 * IFERROR(VLOOKUP("transport|SO2|Premature mortality", US_national_yearly!$D:$AM, 33, FALSE) / VLOOKUP("transport|SO2|Premature mortality", US_national_yearly!$D:$AM, 10, FALSE), 1)</f>
        <v>1.6509200932000038E-2</v>
      </c>
      <c r="Z2" s="7">
        <f>$B2 * IFERROR(VLOOKUP("transport|SO2|Premature mortality", US_national_yearly!$D:$AM, 34, FALSE) / VLOOKUP("transport|SO2|Premature mortality", US_national_yearly!$D:$AM, 10, FALSE), 1)</f>
        <v>1.6526888084559235E-2</v>
      </c>
      <c r="AA2" s="7">
        <f>$B2 * IFERROR(VLOOKUP("transport|SO2|Premature mortality", US_national_yearly!$D:$AM, 35, FALSE) / VLOOKUP("transport|SO2|Premature mortality", US_national_yearly!$D:$AM, 10, FALSE), 1)</f>
        <v>1.6544575237118431E-2</v>
      </c>
      <c r="AB2" s="7">
        <f>$B2 * IFERROR(VLOOKUP("transport|SO2|Premature mortality", US_national_yearly!$D:$AM, 36, FALSE) / VLOOKUP("transport|SO2|Premature mortality", US_national_yearly!$D:$AM, 10, FALSE), 1)</f>
        <v>1.6562262389677625E-2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2.5723154588653409E-5</v>
      </c>
      <c r="C3" s="7">
        <f>$B3 * IFERROR(VLOOKUP("transport|SO2|Infant mortality", US_national_yearly!$D:$AM, 11, FALSE) / VLOOKUP("transport|SO2|Infant mortality", US_national_yearly!$D:$AM, 10, FALSE), 1)</f>
        <v>2.5502187998690177E-5</v>
      </c>
      <c r="D3" s="7">
        <f>$B3 * IFERROR(VLOOKUP("transport|SO2|Infant mortality", US_national_yearly!$D:$AM, 12, FALSE) / VLOOKUP("transport|SO2|Infant mortality", US_national_yearly!$D:$AM, 10, FALSE), 1)</f>
        <v>2.5281221408726948E-5</v>
      </c>
      <c r="E3" s="7">
        <f>$B3 * IFERROR(VLOOKUP("transport|SO2|Infant mortality", US_national_yearly!$D:$AM, 13, FALSE) / VLOOKUP("transport|SO2|Infant mortality", US_national_yearly!$D:$AM, 10, FALSE), 1)</f>
        <v>2.5060254818763713E-5</v>
      </c>
      <c r="F3" s="7">
        <f>$B3 * IFERROR(VLOOKUP("transport|SO2|Infant mortality", US_national_yearly!$D:$AM, 14, FALSE) / VLOOKUP("transport|SO2|Infant mortality", US_national_yearly!$D:$AM, 10, FALSE), 1)</f>
        <v>2.483928822880048E-5</v>
      </c>
      <c r="G3" s="7">
        <f>$B3 * IFERROR(VLOOKUP("transport|SO2|Infant mortality", US_national_yearly!$D:$AM, 15, FALSE) / VLOOKUP("transport|SO2|Infant mortality", US_national_yearly!$D:$AM, 10, FALSE), 1)</f>
        <v>1.6544966555918306E-5</v>
      </c>
      <c r="H3" s="7">
        <f>$B3 * IFERROR(VLOOKUP("transport|SO2|Infant mortality", US_national_yearly!$D:$AM, 16, FALSE) / VLOOKUP("transport|SO2|Infant mortality", US_national_yearly!$D:$AM, 10, FALSE), 1)</f>
        <v>8.2506448830361443E-6</v>
      </c>
      <c r="I3" s="7">
        <f>$B3 * IFERROR(VLOOKUP("transport|SO2|Infant mortality", US_national_yearly!$D:$AM, 17, FALSE) / VLOOKUP("transport|SO2|Infant mortality", US_national_yearly!$D:$AM, 10, FALSE), 1)</f>
        <v>8.1988860962040154E-6</v>
      </c>
      <c r="J3" s="7">
        <f>$B3 * IFERROR(VLOOKUP("transport|SO2|Infant mortality", US_national_yearly!$D:$AM, 18, FALSE) / VLOOKUP("transport|SO2|Infant mortality", US_national_yearly!$D:$AM, 10, FALSE), 1)</f>
        <v>8.1471273093718866E-6</v>
      </c>
      <c r="K3" s="7">
        <f>$B3 * IFERROR(VLOOKUP("transport|SO2|Infant mortality", US_national_yearly!$D:$AM, 19, FALSE) / VLOOKUP("transport|SO2|Infant mortality", US_national_yearly!$D:$AM, 10, FALSE), 1)</f>
        <v>8.0953685225397594E-6</v>
      </c>
      <c r="L3" s="7">
        <f>$B3 * IFERROR(VLOOKUP("transport|SO2|Infant mortality", US_national_yearly!$D:$AM, 20, FALSE) / VLOOKUP("transport|SO2|Infant mortality", US_national_yearly!$D:$AM, 10, FALSE), 1)</f>
        <v>8.0436097357076323E-6</v>
      </c>
      <c r="M3" s="7">
        <f>$B3 * IFERROR(VLOOKUP("transport|SO2|Infant mortality", US_national_yearly!$D:$AM, 21, FALSE) / VLOOKUP("transport|SO2|Infant mortality", US_national_yearly!$D:$AM, 10, FALSE), 1)</f>
        <v>7.9918509488755034E-6</v>
      </c>
      <c r="N3" s="7">
        <f>$B3 * IFERROR(VLOOKUP("transport|SO2|Infant mortality", US_national_yearly!$D:$AM, 22, FALSE) / VLOOKUP("transport|SO2|Infant mortality", US_national_yearly!$D:$AM, 10, FALSE), 1)</f>
        <v>7.9593623458815314E-6</v>
      </c>
      <c r="O3" s="7">
        <f>$B3 * IFERROR(VLOOKUP("transport|SO2|Infant mortality", US_national_yearly!$D:$AM, 23, FALSE) / VLOOKUP("transport|SO2|Infant mortality", US_national_yearly!$D:$AM, 10, FALSE), 1)</f>
        <v>7.9268737428875594E-6</v>
      </c>
      <c r="P3" s="7">
        <f>$B3 * IFERROR(VLOOKUP("transport|SO2|Infant mortality", US_national_yearly!$D:$AM, 24, FALSE) / VLOOKUP("transport|SO2|Infant mortality", US_national_yearly!$D:$AM, 10, FALSE), 1)</f>
        <v>7.8943851398935856E-6</v>
      </c>
      <c r="Q3" s="7">
        <f>$B3 * IFERROR(VLOOKUP("transport|SO2|Infant mortality", US_national_yearly!$D:$AM, 25, FALSE) / VLOOKUP("transport|SO2|Infant mortality", US_national_yearly!$D:$AM, 10, FALSE), 1)</f>
        <v>7.8618965368996119E-6</v>
      </c>
      <c r="R3" s="7">
        <f>$B3 * IFERROR(VLOOKUP("transport|SO2|Infant mortality", US_national_yearly!$D:$AM, 26, FALSE) / VLOOKUP("transport|SO2|Infant mortality", US_national_yearly!$D:$AM, 10, FALSE), 1)</f>
        <v>7.8294079339056381E-6</v>
      </c>
      <c r="S3" s="7">
        <f>$B3 * IFERROR(VLOOKUP("transport|SO2|Infant mortality", US_national_yearly!$D:$AM, 27, FALSE) / VLOOKUP("transport|SO2|Infant mortality", US_national_yearly!$D:$AM, 10, FALSE), 1)</f>
        <v>7.7886165135986434E-6</v>
      </c>
      <c r="T3" s="7">
        <f>$B3 * IFERROR(VLOOKUP("transport|SO2|Infant mortality", US_national_yearly!$D:$AM, 28, FALSE) / VLOOKUP("transport|SO2|Infant mortality", US_national_yearly!$D:$AM, 10, FALSE), 1)</f>
        <v>7.7478250932916487E-6</v>
      </c>
      <c r="U3" s="7">
        <f>$B3 * IFERROR(VLOOKUP("transport|SO2|Infant mortality", US_national_yearly!$D:$AM, 29, FALSE) / VLOOKUP("transport|SO2|Infant mortality", US_national_yearly!$D:$AM, 10, FALSE), 1)</f>
        <v>7.7070336729846523E-6</v>
      </c>
      <c r="V3" s="7">
        <f>$B3 * IFERROR(VLOOKUP("transport|SO2|Infant mortality", US_national_yearly!$D:$AM, 30, FALSE) / VLOOKUP("transport|SO2|Infant mortality", US_national_yearly!$D:$AM, 10, FALSE), 1)</f>
        <v>7.6662422526776593E-6</v>
      </c>
      <c r="W3" s="7">
        <f>$B3 * IFERROR(VLOOKUP("transport|SO2|Infant mortality", US_national_yearly!$D:$AM, 31, FALSE) / VLOOKUP("transport|SO2|Infant mortality", US_national_yearly!$D:$AM, 10, FALSE), 1)</f>
        <v>7.6254508323706629E-6</v>
      </c>
      <c r="X3" s="7">
        <f>$B3 * IFERROR(VLOOKUP("transport|SO2|Infant mortality", US_national_yearly!$D:$AM, 32, FALSE) / VLOOKUP("transport|SO2|Infant mortality", US_national_yearly!$D:$AM, 10, FALSE), 1)</f>
        <v>7.5808532188029E-6</v>
      </c>
      <c r="Y3" s="7">
        <f>$B3 * IFERROR(VLOOKUP("transport|SO2|Infant mortality", US_national_yearly!$D:$AM, 33, FALSE) / VLOOKUP("transport|SO2|Infant mortality", US_national_yearly!$D:$AM, 10, FALSE), 1)</f>
        <v>7.5362556052351346E-6</v>
      </c>
      <c r="Z3" s="7">
        <f>$B3 * IFERROR(VLOOKUP("transport|SO2|Infant mortality", US_national_yearly!$D:$AM, 34, FALSE) / VLOOKUP("transport|SO2|Infant mortality", US_national_yearly!$D:$AM, 10, FALSE), 1)</f>
        <v>7.4916579916673717E-6</v>
      </c>
      <c r="AA3" s="7">
        <f>$B3 * IFERROR(VLOOKUP("transport|SO2|Infant mortality", US_national_yearly!$D:$AM, 35, FALSE) / VLOOKUP("transport|SO2|Infant mortality", US_national_yearly!$D:$AM, 10, FALSE), 1)</f>
        <v>7.4470603780996063E-6</v>
      </c>
      <c r="AB3" s="7">
        <f>$B3 * IFERROR(VLOOKUP("transport|SO2|Infant mortality", US_national_yearly!$D:$AM, 36, FALSE) / VLOOKUP("transport|SO2|Infant mortality", US_national_yearly!$D:$AM, 10, FALSE), 1)</f>
        <v>7.4024627645318434E-6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2.8632048226575228E-2</v>
      </c>
      <c r="C6" s="7">
        <f>$B6 * IFERROR(VLOOKUP("transport|SO2|Asthma symptoms cough", US_national_yearly!$D:$AM, 11, FALSE) / VLOOKUP("transport|SO2|Asthma symptoms cough", US_national_yearly!$D:$AM, 10, FALSE), 1)</f>
        <v>2.8632048226575228E-2</v>
      </c>
      <c r="D6" s="7">
        <f>$B6 * IFERROR(VLOOKUP("transport|SO2|Asthma symptoms cough", US_national_yearly!$D:$AM, 12, FALSE) / VLOOKUP("transport|SO2|Asthma symptoms cough", US_national_yearly!$D:$AM, 10, FALSE), 1)</f>
        <v>2.8632048226575228E-2</v>
      </c>
      <c r="E6" s="7">
        <f>$B6 * IFERROR(VLOOKUP("transport|SO2|Asthma symptoms cough", US_national_yearly!$D:$AM, 13, FALSE) / VLOOKUP("transport|SO2|Asthma symptoms cough", US_national_yearly!$D:$AM, 10, FALSE), 1)</f>
        <v>2.8632048226575228E-2</v>
      </c>
      <c r="F6" s="7">
        <f>$B6 * IFERROR(VLOOKUP("transport|SO2|Asthma symptoms cough", US_national_yearly!$D:$AM, 14, FALSE) / VLOOKUP("transport|SO2|Asthma symptoms cough", US_national_yearly!$D:$AM, 10, FALSE), 1)</f>
        <v>2.8632048226575228E-2</v>
      </c>
      <c r="G6" s="7">
        <f>$B6 * IFERROR(VLOOKUP("transport|SO2|Asthma symptoms cough", US_national_yearly!$D:$AM, 15, FALSE) / VLOOKUP("transport|SO2|Asthma symptoms cough", US_national_yearly!$D:$AM, 10, FALSE), 1)</f>
        <v>2.8632048226575228E-2</v>
      </c>
      <c r="H6" s="7">
        <f>$B6 * IFERROR(VLOOKUP("transport|SO2|Asthma symptoms cough", US_national_yearly!$D:$AM, 16, FALSE) / VLOOKUP("transport|SO2|Asthma symptoms cough", US_national_yearly!$D:$AM, 10, FALSE), 1)</f>
        <v>2.8632048226575228E-2</v>
      </c>
      <c r="I6" s="7">
        <f>$B6 * IFERROR(VLOOKUP("transport|SO2|Asthma symptoms cough", US_national_yearly!$D:$AM, 17, FALSE) / VLOOKUP("transport|SO2|Asthma symptoms cough", US_national_yearly!$D:$AM, 10, FALSE), 1)</f>
        <v>2.8632048226575228E-2</v>
      </c>
      <c r="J6" s="7">
        <f>$B6 * IFERROR(VLOOKUP("transport|SO2|Asthma symptoms cough", US_national_yearly!$D:$AM, 18, FALSE) / VLOOKUP("transport|SO2|Asthma symptoms cough", US_national_yearly!$D:$AM, 10, FALSE), 1)</f>
        <v>2.8632048226575228E-2</v>
      </c>
      <c r="K6" s="7">
        <f>$B6 * IFERROR(VLOOKUP("transport|SO2|Asthma symptoms cough", US_national_yearly!$D:$AM, 19, FALSE) / VLOOKUP("transport|SO2|Asthma symptoms cough", US_national_yearly!$D:$AM, 10, FALSE), 1)</f>
        <v>2.8632048226575228E-2</v>
      </c>
      <c r="L6" s="7">
        <f>$B6 * IFERROR(VLOOKUP("transport|SO2|Asthma symptoms cough", US_national_yearly!$D:$AM, 20, FALSE) / VLOOKUP("transport|SO2|Asthma symptoms cough", US_national_yearly!$D:$AM, 10, FALSE), 1)</f>
        <v>2.8632048226575228E-2</v>
      </c>
      <c r="M6" s="7">
        <f>$B6 * IFERROR(VLOOKUP("transport|SO2|Asthma symptoms cough", US_national_yearly!$D:$AM, 21, FALSE) / VLOOKUP("transport|SO2|Asthma symptoms cough", US_national_yearly!$D:$AM, 10, FALSE), 1)</f>
        <v>2.8632048226575228E-2</v>
      </c>
      <c r="N6" s="7">
        <f>$B6 * IFERROR(VLOOKUP("transport|SO2|Asthma symptoms cough", US_national_yearly!$D:$AM, 22, FALSE) / VLOOKUP("transport|SO2|Asthma symptoms cough", US_national_yearly!$D:$AM, 10, FALSE), 1)</f>
        <v>2.8632048226575228E-2</v>
      </c>
      <c r="O6" s="7">
        <f>$B6 * IFERROR(VLOOKUP("transport|SO2|Asthma symptoms cough", US_national_yearly!$D:$AM, 23, FALSE) / VLOOKUP("transport|SO2|Asthma symptoms cough", US_national_yearly!$D:$AM, 10, FALSE), 1)</f>
        <v>2.8632048226575228E-2</v>
      </c>
      <c r="P6" s="7">
        <f>$B6 * IFERROR(VLOOKUP("transport|SO2|Asthma symptoms cough", US_national_yearly!$D:$AM, 24, FALSE) / VLOOKUP("transport|SO2|Asthma symptoms cough", US_national_yearly!$D:$AM, 10, FALSE), 1)</f>
        <v>2.8632048226575228E-2</v>
      </c>
      <c r="Q6" s="7">
        <f>$B6 * IFERROR(VLOOKUP("transport|SO2|Asthma symptoms cough", US_national_yearly!$D:$AM, 25, FALSE) / VLOOKUP("transport|SO2|Asthma symptoms cough", US_national_yearly!$D:$AM, 10, FALSE), 1)</f>
        <v>2.8632048226575228E-2</v>
      </c>
      <c r="R6" s="7">
        <f>$B6 * IFERROR(VLOOKUP("transport|SO2|Asthma symptoms cough", US_national_yearly!$D:$AM, 26, FALSE) / VLOOKUP("transport|SO2|Asthma symptoms cough", US_national_yearly!$D:$AM, 10, FALSE), 1)</f>
        <v>2.8632048226575228E-2</v>
      </c>
      <c r="S6" s="7">
        <f>$B6 * IFERROR(VLOOKUP("transport|SO2|Asthma symptoms cough", US_national_yearly!$D:$AM, 27, FALSE) / VLOOKUP("transport|SO2|Asthma symptoms cough", US_national_yearly!$D:$AM, 10, FALSE), 1)</f>
        <v>2.8632048226575228E-2</v>
      </c>
      <c r="T6" s="7">
        <f>$B6 * IFERROR(VLOOKUP("transport|SO2|Asthma symptoms cough", US_national_yearly!$D:$AM, 28, FALSE) / VLOOKUP("transport|SO2|Asthma symptoms cough", US_national_yearly!$D:$AM, 10, FALSE), 1)</f>
        <v>2.8632048226575228E-2</v>
      </c>
      <c r="U6" s="7">
        <f>$B6 * IFERROR(VLOOKUP("transport|SO2|Asthma symptoms cough", US_national_yearly!$D:$AM, 29, FALSE) / VLOOKUP("transport|SO2|Asthma symptoms cough", US_national_yearly!$D:$AM, 10, FALSE), 1)</f>
        <v>2.8632048226575228E-2</v>
      </c>
      <c r="V6" s="7">
        <f>$B6 * IFERROR(VLOOKUP("transport|SO2|Asthma symptoms cough", US_national_yearly!$D:$AM, 30, FALSE) / VLOOKUP("transport|SO2|Asthma symptoms cough", US_national_yearly!$D:$AM, 10, FALSE), 1)</f>
        <v>2.8632048226575228E-2</v>
      </c>
      <c r="W6" s="7">
        <f>$B6 * IFERROR(VLOOKUP("transport|SO2|Asthma symptoms cough", US_national_yearly!$D:$AM, 31, FALSE) / VLOOKUP("transport|SO2|Asthma symptoms cough", US_national_yearly!$D:$AM, 10, FALSE), 1)</f>
        <v>2.8632048226575228E-2</v>
      </c>
      <c r="X6" s="7">
        <f>$B6 * IFERROR(VLOOKUP("transport|SO2|Asthma symptoms cough", US_national_yearly!$D:$AM, 32, FALSE) / VLOOKUP("transport|SO2|Asthma symptoms cough", US_national_yearly!$D:$AM, 10, FALSE), 1)</f>
        <v>2.8632048226575228E-2</v>
      </c>
      <c r="Y6" s="7">
        <f>$B6 * IFERROR(VLOOKUP("transport|SO2|Asthma symptoms cough", US_national_yearly!$D:$AM, 33, FALSE) / VLOOKUP("transport|SO2|Asthma symptoms cough", US_national_yearly!$D:$AM, 10, FALSE), 1)</f>
        <v>2.8632048226575228E-2</v>
      </c>
      <c r="Z6" s="7">
        <f>$B6 * IFERROR(VLOOKUP("transport|SO2|Asthma symptoms cough", US_national_yearly!$D:$AM, 34, FALSE) / VLOOKUP("transport|SO2|Asthma symptoms cough", US_national_yearly!$D:$AM, 10, FALSE), 1)</f>
        <v>2.8632048226575228E-2</v>
      </c>
      <c r="AA6" s="7">
        <f>$B6 * IFERROR(VLOOKUP("transport|SO2|Asthma symptoms cough", US_national_yearly!$D:$AM, 35, FALSE) / VLOOKUP("transport|SO2|Asthma symptoms cough", US_national_yearly!$D:$AM, 10, FALSE), 1)</f>
        <v>2.8632048226575228E-2</v>
      </c>
      <c r="AB6" s="7">
        <f>$B6 * IFERROR(VLOOKUP("transport|SO2|Asthma symptoms cough", US_national_yearly!$D:$AM, 36, FALSE) / VLOOKUP("transport|SO2|Asthma symptoms cough", US_national_yearly!$D:$AM, 10, FALSE), 1)</f>
        <v>2.8632048226575228E-2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3.8557079898024961E-2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3.8557079898024961E-2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3.8557079898024961E-2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3.8557079898024961E-2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3.8557079898024961E-2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3.8557079898024961E-2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3.8557079898024961E-2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3.8557079898024961E-2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3.8557079898024961E-2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3.8557079898024961E-2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3.8557079898024961E-2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3.8557079898024961E-2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3.8557079898024961E-2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3.8557079898024961E-2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3.8557079898024961E-2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3.8557079898024961E-2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3.8557079898024961E-2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3.8557079898024961E-2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3.8557079898024961E-2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3.8557079898024961E-2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3.8557079898024961E-2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3.8557079898024961E-2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3.8557079898024961E-2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3.8557079898024961E-2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3.8557079898024961E-2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3.8557079898024961E-2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3.8557079898024961E-2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5.8909138992034038E-2</v>
      </c>
      <c r="C8" s="7">
        <f>$B8 * IFERROR(VLOOKUP("transport|SO2|Asthma symptoms wheeze", US_national_yearly!$D:$AM, 11, FALSE) / VLOOKUP("transport|SO2|Asthma symptoms wheeze", US_national_yearly!$D:$AM, 10, FALSE), 1)</f>
        <v>5.8909138992034038E-2</v>
      </c>
      <c r="D8" s="7">
        <f>$B8 * IFERROR(VLOOKUP("transport|SO2|Asthma symptoms wheeze", US_national_yearly!$D:$AM, 12, FALSE) / VLOOKUP("transport|SO2|Asthma symptoms wheeze", US_national_yearly!$D:$AM, 10, FALSE), 1)</f>
        <v>5.8909138992034038E-2</v>
      </c>
      <c r="E8" s="7">
        <f>$B8 * IFERROR(VLOOKUP("transport|SO2|Asthma symptoms wheeze", US_national_yearly!$D:$AM, 13, FALSE) / VLOOKUP("transport|SO2|Asthma symptoms wheeze", US_national_yearly!$D:$AM, 10, FALSE), 1)</f>
        <v>5.8909138992034038E-2</v>
      </c>
      <c r="F8" s="7">
        <f>$B8 * IFERROR(VLOOKUP("transport|SO2|Asthma symptoms wheeze", US_national_yearly!$D:$AM, 14, FALSE) / VLOOKUP("transport|SO2|Asthma symptoms wheeze", US_national_yearly!$D:$AM, 10, FALSE), 1)</f>
        <v>5.8909138992034038E-2</v>
      </c>
      <c r="G8" s="7">
        <f>$B8 * IFERROR(VLOOKUP("transport|SO2|Asthma symptoms wheeze", US_national_yearly!$D:$AM, 15, FALSE) / VLOOKUP("transport|SO2|Asthma symptoms wheeze", US_national_yearly!$D:$AM, 10, FALSE), 1)</f>
        <v>5.8909138992034038E-2</v>
      </c>
      <c r="H8" s="7">
        <f>$B8 * IFERROR(VLOOKUP("transport|SO2|Asthma symptoms wheeze", US_national_yearly!$D:$AM, 16, FALSE) / VLOOKUP("transport|SO2|Asthma symptoms wheeze", US_national_yearly!$D:$AM, 10, FALSE), 1)</f>
        <v>5.8909138992034038E-2</v>
      </c>
      <c r="I8" s="7">
        <f>$B8 * IFERROR(VLOOKUP("transport|SO2|Asthma symptoms wheeze", US_national_yearly!$D:$AM, 17, FALSE) / VLOOKUP("transport|SO2|Asthma symptoms wheeze", US_national_yearly!$D:$AM, 10, FALSE), 1)</f>
        <v>5.8909138992034038E-2</v>
      </c>
      <c r="J8" s="7">
        <f>$B8 * IFERROR(VLOOKUP("transport|SO2|Asthma symptoms wheeze", US_national_yearly!$D:$AM, 18, FALSE) / VLOOKUP("transport|SO2|Asthma symptoms wheeze", US_national_yearly!$D:$AM, 10, FALSE), 1)</f>
        <v>5.8909138992034038E-2</v>
      </c>
      <c r="K8" s="7">
        <f>$B8 * IFERROR(VLOOKUP("transport|SO2|Asthma symptoms wheeze", US_national_yearly!$D:$AM, 19, FALSE) / VLOOKUP("transport|SO2|Asthma symptoms wheeze", US_national_yearly!$D:$AM, 10, FALSE), 1)</f>
        <v>5.8909138992034038E-2</v>
      </c>
      <c r="L8" s="7">
        <f>$B8 * IFERROR(VLOOKUP("transport|SO2|Asthma symptoms wheeze", US_national_yearly!$D:$AM, 20, FALSE) / VLOOKUP("transport|SO2|Asthma symptoms wheeze", US_national_yearly!$D:$AM, 10, FALSE), 1)</f>
        <v>5.8909138992034038E-2</v>
      </c>
      <c r="M8" s="7">
        <f>$B8 * IFERROR(VLOOKUP("transport|SO2|Asthma symptoms wheeze", US_national_yearly!$D:$AM, 21, FALSE) / VLOOKUP("transport|SO2|Asthma symptoms wheeze", US_national_yearly!$D:$AM, 10, FALSE), 1)</f>
        <v>5.8909138992034038E-2</v>
      </c>
      <c r="N8" s="7">
        <f>$B8 * IFERROR(VLOOKUP("transport|SO2|Asthma symptoms wheeze", US_national_yearly!$D:$AM, 22, FALSE) / VLOOKUP("transport|SO2|Asthma symptoms wheeze", US_national_yearly!$D:$AM, 10, FALSE), 1)</f>
        <v>5.8909138992034038E-2</v>
      </c>
      <c r="O8" s="7">
        <f>$B8 * IFERROR(VLOOKUP("transport|SO2|Asthma symptoms wheeze", US_national_yearly!$D:$AM, 23, FALSE) / VLOOKUP("transport|SO2|Asthma symptoms wheeze", US_national_yearly!$D:$AM, 10, FALSE), 1)</f>
        <v>5.8909138992034038E-2</v>
      </c>
      <c r="P8" s="7">
        <f>$B8 * IFERROR(VLOOKUP("transport|SO2|Asthma symptoms wheeze", US_national_yearly!$D:$AM, 24, FALSE) / VLOOKUP("transport|SO2|Asthma symptoms wheeze", US_national_yearly!$D:$AM, 10, FALSE), 1)</f>
        <v>5.8909138992034038E-2</v>
      </c>
      <c r="Q8" s="7">
        <f>$B8 * IFERROR(VLOOKUP("transport|SO2|Asthma symptoms wheeze", US_national_yearly!$D:$AM, 25, FALSE) / VLOOKUP("transport|SO2|Asthma symptoms wheeze", US_national_yearly!$D:$AM, 10, FALSE), 1)</f>
        <v>5.8909138992034038E-2</v>
      </c>
      <c r="R8" s="7">
        <f>$B8 * IFERROR(VLOOKUP("transport|SO2|Asthma symptoms wheeze", US_national_yearly!$D:$AM, 26, FALSE) / VLOOKUP("transport|SO2|Asthma symptoms wheeze", US_national_yearly!$D:$AM, 10, FALSE), 1)</f>
        <v>5.8909138992034038E-2</v>
      </c>
      <c r="S8" s="7">
        <f>$B8 * IFERROR(VLOOKUP("transport|SO2|Asthma symptoms wheeze", US_national_yearly!$D:$AM, 27, FALSE) / VLOOKUP("transport|SO2|Asthma symptoms wheeze", US_national_yearly!$D:$AM, 10, FALSE), 1)</f>
        <v>5.8909138992034038E-2</v>
      </c>
      <c r="T8" s="7">
        <f>$B8 * IFERROR(VLOOKUP("transport|SO2|Asthma symptoms wheeze", US_national_yearly!$D:$AM, 28, FALSE) / VLOOKUP("transport|SO2|Asthma symptoms wheeze", US_national_yearly!$D:$AM, 10, FALSE), 1)</f>
        <v>5.8909138992034038E-2</v>
      </c>
      <c r="U8" s="7">
        <f>$B8 * IFERROR(VLOOKUP("transport|SO2|Asthma symptoms wheeze", US_national_yearly!$D:$AM, 29, FALSE) / VLOOKUP("transport|SO2|Asthma symptoms wheeze", US_national_yearly!$D:$AM, 10, FALSE), 1)</f>
        <v>5.8909138992034038E-2</v>
      </c>
      <c r="V8" s="7">
        <f>$B8 * IFERROR(VLOOKUP("transport|SO2|Asthma symptoms wheeze", US_national_yearly!$D:$AM, 30, FALSE) / VLOOKUP("transport|SO2|Asthma symptoms wheeze", US_national_yearly!$D:$AM, 10, FALSE), 1)</f>
        <v>5.8909138992034038E-2</v>
      </c>
      <c r="W8" s="7">
        <f>$B8 * IFERROR(VLOOKUP("transport|SO2|Asthma symptoms wheeze", US_national_yearly!$D:$AM, 31, FALSE) / VLOOKUP("transport|SO2|Asthma symptoms wheeze", US_national_yearly!$D:$AM, 10, FALSE), 1)</f>
        <v>5.8909138992034038E-2</v>
      </c>
      <c r="X8" s="7">
        <f>$B8 * IFERROR(VLOOKUP("transport|SO2|Asthma symptoms wheeze", US_national_yearly!$D:$AM, 32, FALSE) / VLOOKUP("transport|SO2|Asthma symptoms wheeze", US_national_yearly!$D:$AM, 10, FALSE), 1)</f>
        <v>5.8909138992034038E-2</v>
      </c>
      <c r="Y8" s="7">
        <f>$B8 * IFERROR(VLOOKUP("transport|SO2|Asthma symptoms wheeze", US_national_yearly!$D:$AM, 33, FALSE) / VLOOKUP("transport|SO2|Asthma symptoms wheeze", US_national_yearly!$D:$AM, 10, FALSE), 1)</f>
        <v>5.8909138992034038E-2</v>
      </c>
      <c r="Z8" s="7">
        <f>$B8 * IFERROR(VLOOKUP("transport|SO2|Asthma symptoms wheeze", US_national_yearly!$D:$AM, 34, FALSE) / VLOOKUP("transport|SO2|Asthma symptoms wheeze", US_national_yearly!$D:$AM, 10, FALSE), 1)</f>
        <v>5.8909138992034038E-2</v>
      </c>
      <c r="AA8" s="7">
        <f>$B8 * IFERROR(VLOOKUP("transport|SO2|Asthma symptoms wheeze", US_national_yearly!$D:$AM, 35, FALSE) / VLOOKUP("transport|SO2|Asthma symptoms wheeze", US_national_yearly!$D:$AM, 10, FALSE), 1)</f>
        <v>5.8909138992034038E-2</v>
      </c>
      <c r="AB8" s="7">
        <f>$B8 * IFERROR(VLOOKUP("transport|SO2|Asthma symptoms wheeze", US_national_yearly!$D:$AM, 36, FALSE) / VLOOKUP("transport|SO2|Asthma symptoms wheeze", US_national_yearly!$D:$AM, 10, FALSE), 1)</f>
        <v>5.8909138992034038E-2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1.2011671976768612E-3</v>
      </c>
      <c r="C12" s="7">
        <f>$B12 * IFERROR(VLOOKUP("transport|SO2|Respiratory hospital admissions", US_national_yearly!$D:$AM, 11, FALSE) / VLOOKUP("transport|SO2|Respiratory hospital admissions", US_national_yearly!$D:$AM, 10, FALSE), 1)</f>
        <v>1.2082517415006424E-3</v>
      </c>
      <c r="D12" s="7">
        <f>$B12 * IFERROR(VLOOKUP("transport|SO2|Respiratory hospital admissions", US_national_yearly!$D:$AM, 12, FALSE) / VLOOKUP("transport|SO2|Respiratory hospital admissions", US_national_yearly!$D:$AM, 10, FALSE), 1)</f>
        <v>1.2153362853244236E-3</v>
      </c>
      <c r="E12" s="7">
        <f>$B12 * IFERROR(VLOOKUP("transport|SO2|Respiratory hospital admissions", US_national_yearly!$D:$AM, 13, FALSE) / VLOOKUP("transport|SO2|Respiratory hospital admissions", US_national_yearly!$D:$AM, 10, FALSE), 1)</f>
        <v>1.2224208291482051E-3</v>
      </c>
      <c r="F12" s="7">
        <f>$B12 * IFERROR(VLOOKUP("transport|SO2|Respiratory hospital admissions", US_national_yearly!$D:$AM, 14, FALSE) / VLOOKUP("transport|SO2|Respiratory hospital admissions", US_national_yearly!$D:$AM, 10, FALSE), 1)</f>
        <v>1.2295053729719863E-3</v>
      </c>
      <c r="G12" s="7">
        <f>$B12 * IFERROR(VLOOKUP("transport|SO2|Respiratory hospital admissions", US_national_yearly!$D:$AM, 15, FALSE) / VLOOKUP("transport|SO2|Respiratory hospital admissions", US_national_yearly!$D:$AM, 10, FALSE), 1)</f>
        <v>1.2372287206969619E-3</v>
      </c>
      <c r="H12" s="7">
        <f>$B12 * IFERROR(VLOOKUP("transport|SO2|Respiratory hospital admissions", US_national_yearly!$D:$AM, 16, FALSE) / VLOOKUP("transport|SO2|Respiratory hospital admissions", US_national_yearly!$D:$AM, 10, FALSE), 1)</f>
        <v>1.2449520684219373E-3</v>
      </c>
      <c r="I12" s="7">
        <f>$B12 * IFERROR(VLOOKUP("transport|SO2|Respiratory hospital admissions", US_national_yearly!$D:$AM, 17, FALSE) / VLOOKUP("transport|SO2|Respiratory hospital admissions", US_national_yearly!$D:$AM, 10, FALSE), 1)</f>
        <v>1.2525682088524446E-3</v>
      </c>
      <c r="J12" s="7">
        <f>$B12 * IFERROR(VLOOKUP("transport|SO2|Respiratory hospital admissions", US_national_yearly!$D:$AM, 18, FALSE) / VLOOKUP("transport|SO2|Respiratory hospital admissions", US_national_yearly!$D:$AM, 10, FALSE), 1)</f>
        <v>1.2601843492829521E-3</v>
      </c>
      <c r="K12" s="7">
        <f>$B12 * IFERROR(VLOOKUP("transport|SO2|Respiratory hospital admissions", US_national_yearly!$D:$AM, 19, FALSE) / VLOOKUP("transport|SO2|Respiratory hospital admissions", US_national_yearly!$D:$AM, 10, FALSE), 1)</f>
        <v>1.2678004897134592E-3</v>
      </c>
      <c r="L12" s="7">
        <f>$B12 * IFERROR(VLOOKUP("transport|SO2|Respiratory hospital admissions", US_national_yearly!$D:$AM, 20, FALSE) / VLOOKUP("transport|SO2|Respiratory hospital admissions", US_national_yearly!$D:$AM, 10, FALSE), 1)</f>
        <v>1.2754166301439667E-3</v>
      </c>
      <c r="M12" s="7">
        <f>$B12 * IFERROR(VLOOKUP("transport|SO2|Respiratory hospital admissions", US_national_yearly!$D:$AM, 21, FALSE) / VLOOKUP("transport|SO2|Respiratory hospital admissions", US_national_yearly!$D:$AM, 10, FALSE), 1)</f>
        <v>1.2830327705744735E-3</v>
      </c>
      <c r="N12" s="7">
        <f>$B12 * IFERROR(VLOOKUP("transport|SO2|Respiratory hospital admissions", US_national_yearly!$D:$AM, 22, FALSE) / VLOOKUP("transport|SO2|Respiratory hospital admissions", US_national_yearly!$D:$AM, 10, FALSE), 1)</f>
        <v>1.2885923179891691E-3</v>
      </c>
      <c r="O12" s="7">
        <f>$B12 * IFERROR(VLOOKUP("transport|SO2|Respiratory hospital admissions", US_national_yearly!$D:$AM, 23, FALSE) / VLOOKUP("transport|SO2|Respiratory hospital admissions", US_national_yearly!$D:$AM, 10, FALSE), 1)</f>
        <v>1.2941518654038646E-3</v>
      </c>
      <c r="P12" s="7">
        <f>$B12 * IFERROR(VLOOKUP("transport|SO2|Respiratory hospital admissions", US_national_yearly!$D:$AM, 24, FALSE) / VLOOKUP("transport|SO2|Respiratory hospital admissions", US_national_yearly!$D:$AM, 10, FALSE), 1)</f>
        <v>1.29971141281856E-3</v>
      </c>
      <c r="Q12" s="7">
        <f>$B12 * IFERROR(VLOOKUP("transport|SO2|Respiratory hospital admissions", US_national_yearly!$D:$AM, 25, FALSE) / VLOOKUP("transport|SO2|Respiratory hospital admissions", US_national_yearly!$D:$AM, 10, FALSE), 1)</f>
        <v>1.3052709602332556E-3</v>
      </c>
      <c r="R12" s="7">
        <f>$B12 * IFERROR(VLOOKUP("transport|SO2|Respiratory hospital admissions", US_national_yearly!$D:$AM, 26, FALSE) / VLOOKUP("transport|SO2|Respiratory hospital admissions", US_national_yearly!$D:$AM, 10, FALSE), 1)</f>
        <v>1.310830507647951E-3</v>
      </c>
      <c r="S12" s="7">
        <f>$B12 * IFERROR(VLOOKUP("transport|SO2|Respiratory hospital admissions", US_national_yearly!$D:$AM, 27, FALSE) / VLOOKUP("transport|SO2|Respiratory hospital admissions", US_national_yearly!$D:$AM, 10, FALSE), 1)</f>
        <v>1.3161338916761326E-3</v>
      </c>
      <c r="T12" s="7">
        <f>$B12 * IFERROR(VLOOKUP("transport|SO2|Respiratory hospital admissions", US_national_yearly!$D:$AM, 28, FALSE) / VLOOKUP("transport|SO2|Respiratory hospital admissions", US_national_yearly!$D:$AM, 10, FALSE), 1)</f>
        <v>1.3214372757043139E-3</v>
      </c>
      <c r="U12" s="7">
        <f>$B12 * IFERROR(VLOOKUP("transport|SO2|Respiratory hospital admissions", US_national_yearly!$D:$AM, 29, FALSE) / VLOOKUP("transport|SO2|Respiratory hospital admissions", US_national_yearly!$D:$AM, 10, FALSE), 1)</f>
        <v>1.3267406597324957E-3</v>
      </c>
      <c r="V12" s="7">
        <f>$B12 * IFERROR(VLOOKUP("transport|SO2|Respiratory hospital admissions", US_national_yearly!$D:$AM, 30, FALSE) / VLOOKUP("transport|SO2|Respiratory hospital admissions", US_national_yearly!$D:$AM, 10, FALSE), 1)</f>
        <v>1.3320440437606773E-3</v>
      </c>
      <c r="W12" s="7">
        <f>$B12 * IFERROR(VLOOKUP("transport|SO2|Respiratory hospital admissions", US_national_yearly!$D:$AM, 31, FALSE) / VLOOKUP("transport|SO2|Respiratory hospital admissions", US_national_yearly!$D:$AM, 10, FALSE), 1)</f>
        <v>1.337347427788859E-3</v>
      </c>
      <c r="X12" s="7">
        <f>$B12 * IFERROR(VLOOKUP("transport|SO2|Respiratory hospital admissions", US_national_yearly!$D:$AM, 32, FALSE) / VLOOKUP("transport|SO2|Respiratory hospital admissions", US_national_yearly!$D:$AM, 10, FALSE), 1)</f>
        <v>1.3423794685194208E-3</v>
      </c>
      <c r="Y12" s="7">
        <f>$B12 * IFERROR(VLOOKUP("transport|SO2|Respiratory hospital admissions", US_national_yearly!$D:$AM, 33, FALSE) / VLOOKUP("transport|SO2|Respiratory hospital admissions", US_national_yearly!$D:$AM, 10, FALSE), 1)</f>
        <v>1.3474115092499826E-3</v>
      </c>
      <c r="Z12" s="7">
        <f>$B12 * IFERROR(VLOOKUP("transport|SO2|Respiratory hospital admissions", US_national_yearly!$D:$AM, 34, FALSE) / VLOOKUP("transport|SO2|Respiratory hospital admissions", US_national_yearly!$D:$AM, 10, FALSE), 1)</f>
        <v>1.3524435499805447E-3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1.3574755907111065E-3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1.3625076314416687E-3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6.8970091781128994E-3</v>
      </c>
      <c r="C13" s="7">
        <f>$B13 * IFERROR(VLOOKUP("transport|SO2|Non-fatal heart attacks", US_national_yearly!$D:$AM, 11, FALSE) / VLOOKUP("transport|SO2|Non-fatal heart attacks", US_national_yearly!$D:$AM, 10, FALSE), 1)</f>
        <v>7.0994803162713763E-3</v>
      </c>
      <c r="D13" s="7">
        <f>$B13 * IFERROR(VLOOKUP("transport|SO2|Non-fatal heart attacks", US_national_yearly!$D:$AM, 12, FALSE) / VLOOKUP("transport|SO2|Non-fatal heart attacks", US_national_yearly!$D:$AM, 10, FALSE), 1)</f>
        <v>7.3019514544298532E-3</v>
      </c>
      <c r="E13" s="7">
        <f>$B13 * IFERROR(VLOOKUP("transport|SO2|Non-fatal heart attacks", US_national_yearly!$D:$AM, 13, FALSE) / VLOOKUP("transport|SO2|Non-fatal heart attacks", US_national_yearly!$D:$AM, 10, FALSE), 1)</f>
        <v>7.504422592588331E-3</v>
      </c>
      <c r="F13" s="7">
        <f>$B13 * IFERROR(VLOOKUP("transport|SO2|Non-fatal heart attacks", US_national_yearly!$D:$AM, 14, FALSE) / VLOOKUP("transport|SO2|Non-fatal heart attacks", US_national_yearly!$D:$AM, 10, FALSE), 1)</f>
        <v>7.7068937307468062E-3</v>
      </c>
      <c r="G13" s="7">
        <f>$B13 * IFERROR(VLOOKUP("transport|SO2|Non-fatal heart attacks", US_national_yearly!$D:$AM, 15, FALSE) / VLOOKUP("transport|SO2|Non-fatal heart attacks", US_national_yearly!$D:$AM, 10, FALSE), 1)</f>
        <v>7.8978427943756022E-3</v>
      </c>
      <c r="H13" s="7">
        <f>$B13 * IFERROR(VLOOKUP("transport|SO2|Non-fatal heart attacks", US_national_yearly!$D:$AM, 16, FALSE) / VLOOKUP("transport|SO2|Non-fatal heart attacks", US_national_yearly!$D:$AM, 10, FALSE), 1)</f>
        <v>8.0887918580043999E-3</v>
      </c>
      <c r="I13" s="7">
        <f>$B13 * IFERROR(VLOOKUP("transport|SO2|Non-fatal heart attacks", US_national_yearly!$D:$AM, 17, FALSE) / VLOOKUP("transport|SO2|Non-fatal heart attacks", US_national_yearly!$D:$AM, 10, FALSE), 1)</f>
        <v>8.2424459944625897E-3</v>
      </c>
      <c r="J13" s="7">
        <f>$B13 * IFERROR(VLOOKUP("transport|SO2|Non-fatal heart attacks", US_national_yearly!$D:$AM, 18, FALSE) / VLOOKUP("transport|SO2|Non-fatal heart attacks", US_national_yearly!$D:$AM, 10, FALSE), 1)</f>
        <v>8.3961001309207813E-3</v>
      </c>
      <c r="K13" s="7">
        <f>$B13 * IFERROR(VLOOKUP("transport|SO2|Non-fatal heart attacks", US_national_yearly!$D:$AM, 19, FALSE) / VLOOKUP("transport|SO2|Non-fatal heart attacks", US_national_yearly!$D:$AM, 10, FALSE), 1)</f>
        <v>8.5497542673789711E-3</v>
      </c>
      <c r="L13" s="7">
        <f>$B13 * IFERROR(VLOOKUP("transport|SO2|Non-fatal heart attacks", US_national_yearly!$D:$AM, 20, FALSE) / VLOOKUP("transport|SO2|Non-fatal heart attacks", US_national_yearly!$D:$AM, 10, FALSE), 1)</f>
        <v>8.7034084038371644E-3</v>
      </c>
      <c r="M13" s="7">
        <f>$B13 * IFERROR(VLOOKUP("transport|SO2|Non-fatal heart attacks", US_national_yearly!$D:$AM, 21, FALSE) / VLOOKUP("transport|SO2|Non-fatal heart attacks", US_national_yearly!$D:$AM, 10, FALSE), 1)</f>
        <v>8.8570625402953559E-3</v>
      </c>
      <c r="N13" s="7">
        <f>$B13 * IFERROR(VLOOKUP("transport|SO2|Non-fatal heart attacks", US_national_yearly!$D:$AM, 22, FALSE) / VLOOKUP("transport|SO2|Non-fatal heart attacks", US_national_yearly!$D:$AM, 10, FALSE), 1)</f>
        <v>8.9568320274859229E-3</v>
      </c>
      <c r="O13" s="7">
        <f>$B13 * IFERROR(VLOOKUP("transport|SO2|Non-fatal heart attacks", US_national_yearly!$D:$AM, 23, FALSE) / VLOOKUP("transport|SO2|Non-fatal heart attacks", US_national_yearly!$D:$AM, 10, FALSE), 1)</f>
        <v>9.0566015146764916E-3</v>
      </c>
      <c r="P13" s="7">
        <f>$B13 * IFERROR(VLOOKUP("transport|SO2|Non-fatal heart attacks", US_national_yearly!$D:$AM, 24, FALSE) / VLOOKUP("transport|SO2|Non-fatal heart attacks", US_national_yearly!$D:$AM, 10, FALSE), 1)</f>
        <v>9.156371001867062E-3</v>
      </c>
      <c r="Q13" s="7">
        <f>$B13 * IFERROR(VLOOKUP("transport|SO2|Non-fatal heart attacks", US_national_yearly!$D:$AM, 25, FALSE) / VLOOKUP("transport|SO2|Non-fatal heart attacks", US_national_yearly!$D:$AM, 10, FALSE), 1)</f>
        <v>9.2561404890576307E-3</v>
      </c>
      <c r="R13" s="7">
        <f>$B13 * IFERROR(VLOOKUP("transport|SO2|Non-fatal heart attacks", US_national_yearly!$D:$AM, 26, FALSE) / VLOOKUP("transport|SO2|Non-fatal heart attacks", US_national_yearly!$D:$AM, 10, FALSE), 1)</f>
        <v>9.3559099762481977E-3</v>
      </c>
      <c r="S13" s="7">
        <f>$B13 * IFERROR(VLOOKUP("transport|SO2|Non-fatal heart attacks", US_national_yearly!$D:$AM, 27, FALSE) / VLOOKUP("transport|SO2|Non-fatal heart attacks", US_national_yearly!$D:$AM, 10, FALSE), 1)</f>
        <v>9.4079990643280761E-3</v>
      </c>
      <c r="T13" s="7">
        <f>$B13 * IFERROR(VLOOKUP("transport|SO2|Non-fatal heart attacks", US_national_yearly!$D:$AM, 28, FALSE) / VLOOKUP("transport|SO2|Non-fatal heart attacks", US_national_yearly!$D:$AM, 10, FALSE), 1)</f>
        <v>9.4600881524079545E-3</v>
      </c>
      <c r="U13" s="7">
        <f>$B13 * IFERROR(VLOOKUP("transport|SO2|Non-fatal heart attacks", US_national_yearly!$D:$AM, 29, FALSE) / VLOOKUP("transport|SO2|Non-fatal heart attacks", US_national_yearly!$D:$AM, 10, FALSE), 1)</f>
        <v>9.5121772404878294E-3</v>
      </c>
      <c r="V13" s="7">
        <f>$B13 * IFERROR(VLOOKUP("transport|SO2|Non-fatal heart attacks", US_national_yearly!$D:$AM, 30, FALSE) / VLOOKUP("transport|SO2|Non-fatal heart attacks", US_national_yearly!$D:$AM, 10, FALSE), 1)</f>
        <v>9.5642663285677061E-3</v>
      </c>
      <c r="W13" s="7">
        <f>$B13 * IFERROR(VLOOKUP("transport|SO2|Non-fatal heart attacks", US_national_yearly!$D:$AM, 31, FALSE) / VLOOKUP("transport|SO2|Non-fatal heart attacks", US_national_yearly!$D:$AM, 10, FALSE), 1)</f>
        <v>9.6163554166475845E-3</v>
      </c>
      <c r="X13" s="7">
        <f>$B13 * IFERROR(VLOOKUP("transport|SO2|Non-fatal heart attacks", US_national_yearly!$D:$AM, 32, FALSE) / VLOOKUP("transport|SO2|Non-fatal heart attacks", US_national_yearly!$D:$AM, 10, FALSE), 1)</f>
        <v>9.6556781217147537E-3</v>
      </c>
      <c r="Y13" s="7">
        <f>$B13 * IFERROR(VLOOKUP("transport|SO2|Non-fatal heart attacks", US_national_yearly!$D:$AM, 33, FALSE) / VLOOKUP("transport|SO2|Non-fatal heart attacks", US_national_yearly!$D:$AM, 10, FALSE), 1)</f>
        <v>9.6950008267819212E-3</v>
      </c>
      <c r="Z13" s="7">
        <f>$B13 * IFERROR(VLOOKUP("transport|SO2|Non-fatal heart attacks", US_national_yearly!$D:$AM, 34, FALSE) / VLOOKUP("transport|SO2|Non-fatal heart attacks", US_national_yearly!$D:$AM, 10, FALSE), 1)</f>
        <v>9.7343235318490887E-3</v>
      </c>
      <c r="AA13" s="7">
        <f>$B13 * IFERROR(VLOOKUP("transport|SO2|Non-fatal heart attacks", US_national_yearly!$D:$AM, 35, FALSE) / VLOOKUP("transport|SO2|Non-fatal heart attacks", US_national_yearly!$D:$AM, 10, FALSE), 1)</f>
        <v>9.7736462369162579E-3</v>
      </c>
      <c r="AB13" s="7">
        <f>$B13 * IFERROR(VLOOKUP("transport|SO2|Non-fatal heart attacks", US_national_yearly!$D:$AM, 36, FALSE) / VLOOKUP("transport|SO2|Non-fatal heart attacks", US_national_yearly!$D:$AM, 10, FALSE), 1)</f>
        <v>9.8129689419834253E-3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4.081111209957764</v>
      </c>
      <c r="C14" s="7">
        <f>$B14 * IFERROR(VLOOKUP("transport|SO2|Minor restricted activity days", US_national_yearly!$D:$AM, 11, FALSE) / VLOOKUP("transport|SO2|Minor restricted activity days", US_national_yearly!$D:$AM, 10, FALSE), 1)</f>
        <v>4.0913983315231457</v>
      </c>
      <c r="D14" s="7">
        <f>$B14 * IFERROR(VLOOKUP("transport|SO2|Minor restricted activity days", US_national_yearly!$D:$AM, 12, FALSE) / VLOOKUP("transport|SO2|Minor restricted activity days", US_national_yearly!$D:$AM, 10, FALSE), 1)</f>
        <v>4.1016854530885265</v>
      </c>
      <c r="E14" s="7">
        <f>$B14 * IFERROR(VLOOKUP("transport|SO2|Minor restricted activity days", US_national_yearly!$D:$AM, 13, FALSE) / VLOOKUP("transport|SO2|Minor restricted activity days", US_national_yearly!$D:$AM, 10, FALSE), 1)</f>
        <v>4.1119725746539073</v>
      </c>
      <c r="F14" s="7">
        <f>$B14 * IFERROR(VLOOKUP("transport|SO2|Minor restricted activity days", US_national_yearly!$D:$AM, 14, FALSE) / VLOOKUP("transport|SO2|Minor restricted activity days", US_national_yearly!$D:$AM, 10, FALSE), 1)</f>
        <v>4.1222596962192881</v>
      </c>
      <c r="G14" s="7">
        <f>$B14 * IFERROR(VLOOKUP("transport|SO2|Minor restricted activity days", US_national_yearly!$D:$AM, 15, FALSE) / VLOOKUP("transport|SO2|Minor restricted activity days", US_national_yearly!$D:$AM, 10, FALSE), 1)</f>
        <v>4.1374013285510634</v>
      </c>
      <c r="H14" s="7">
        <f>$B14 * IFERROR(VLOOKUP("transport|SO2|Minor restricted activity days", US_national_yearly!$D:$AM, 16, FALSE) / VLOOKUP("transport|SO2|Minor restricted activity days", US_national_yearly!$D:$AM, 10, FALSE), 1)</f>
        <v>4.1525429608828386</v>
      </c>
      <c r="I14" s="7">
        <f>$B14 * IFERROR(VLOOKUP("transport|SO2|Minor restricted activity days", US_national_yearly!$D:$AM, 17, FALSE) / VLOOKUP("transport|SO2|Minor restricted activity days", US_national_yearly!$D:$AM, 10, FALSE), 1)</f>
        <v>4.1783656034591878</v>
      </c>
      <c r="J14" s="7">
        <f>$B14 * IFERROR(VLOOKUP("transport|SO2|Minor restricted activity days", US_national_yearly!$D:$AM, 18, FALSE) / VLOOKUP("transport|SO2|Minor restricted activity days", US_national_yearly!$D:$AM, 10, FALSE), 1)</f>
        <v>4.2041882460355362</v>
      </c>
      <c r="K14" s="7">
        <f>$B14 * IFERROR(VLOOKUP("transport|SO2|Minor restricted activity days", US_national_yearly!$D:$AM, 19, FALSE) / VLOOKUP("transport|SO2|Minor restricted activity days", US_national_yearly!$D:$AM, 10, FALSE), 1)</f>
        <v>4.2300108886118863</v>
      </c>
      <c r="L14" s="7">
        <f>$B14 * IFERROR(VLOOKUP("transport|SO2|Minor restricted activity days", US_national_yearly!$D:$AM, 20, FALSE) / VLOOKUP("transport|SO2|Minor restricted activity days", US_national_yearly!$D:$AM, 10, FALSE), 1)</f>
        <v>4.2558335311882356</v>
      </c>
      <c r="M14" s="7">
        <f>$B14 * IFERROR(VLOOKUP("transport|SO2|Minor restricted activity days", US_national_yearly!$D:$AM, 21, FALSE) / VLOOKUP("transport|SO2|Minor restricted activity days", US_national_yearly!$D:$AM, 10, FALSE), 1)</f>
        <v>4.281656173764584</v>
      </c>
      <c r="N14" s="7">
        <f>$B14 * IFERROR(VLOOKUP("transport|SO2|Minor restricted activity days", US_national_yearly!$D:$AM, 22, FALSE) / VLOOKUP("transport|SO2|Minor restricted activity days", US_national_yearly!$D:$AM, 10, FALSE), 1)</f>
        <v>4.3169774053341827</v>
      </c>
      <c r="O14" s="7">
        <f>$B14 * IFERROR(VLOOKUP("transport|SO2|Minor restricted activity days", US_national_yearly!$D:$AM, 23, FALSE) / VLOOKUP("transport|SO2|Minor restricted activity days", US_national_yearly!$D:$AM, 10, FALSE), 1)</f>
        <v>4.3522986369037806</v>
      </c>
      <c r="P14" s="7">
        <f>$B14 * IFERROR(VLOOKUP("transport|SO2|Minor restricted activity days", US_national_yearly!$D:$AM, 24, FALSE) / VLOOKUP("transport|SO2|Minor restricted activity days", US_national_yearly!$D:$AM, 10, FALSE), 1)</f>
        <v>4.3876198684733785</v>
      </c>
      <c r="Q14" s="7">
        <f>$B14 * IFERROR(VLOOKUP("transport|SO2|Minor restricted activity days", US_national_yearly!$D:$AM, 25, FALSE) / VLOOKUP("transport|SO2|Minor restricted activity days", US_national_yearly!$D:$AM, 10, FALSE), 1)</f>
        <v>4.4229411000429764</v>
      </c>
      <c r="R14" s="7">
        <f>$B14 * IFERROR(VLOOKUP("transport|SO2|Minor restricted activity days", US_national_yearly!$D:$AM, 26, FALSE) / VLOOKUP("transport|SO2|Minor restricted activity days", US_national_yearly!$D:$AM, 10, FALSE), 1)</f>
        <v>4.4582623316125751</v>
      </c>
      <c r="S14" s="7">
        <f>$B14 * IFERROR(VLOOKUP("transport|SO2|Minor restricted activity days", US_national_yearly!$D:$AM, 27, FALSE) / VLOOKUP("transport|SO2|Minor restricted activity days", US_national_yearly!$D:$AM, 10, FALSE), 1)</f>
        <v>4.4942757842253451</v>
      </c>
      <c r="T14" s="7">
        <f>$B14 * IFERROR(VLOOKUP("transport|SO2|Minor restricted activity days", US_national_yearly!$D:$AM, 28, FALSE) / VLOOKUP("transport|SO2|Minor restricted activity days", US_national_yearly!$D:$AM, 10, FALSE), 1)</f>
        <v>4.530289236838116</v>
      </c>
      <c r="U14" s="7">
        <f>$B14 * IFERROR(VLOOKUP("transport|SO2|Minor restricted activity days", US_national_yearly!$D:$AM, 29, FALSE) / VLOOKUP("transport|SO2|Minor restricted activity days", US_national_yearly!$D:$AM, 10, FALSE), 1)</f>
        <v>4.5663026894508869</v>
      </c>
      <c r="V14" s="7">
        <f>$B14 * IFERROR(VLOOKUP("transport|SO2|Minor restricted activity days", US_national_yearly!$D:$AM, 30, FALSE) / VLOOKUP("transport|SO2|Minor restricted activity days", US_national_yearly!$D:$AM, 10, FALSE), 1)</f>
        <v>4.6023161420636569</v>
      </c>
      <c r="W14" s="7">
        <f>$B14 * IFERROR(VLOOKUP("transport|SO2|Minor restricted activity days", US_national_yearly!$D:$AM, 31, FALSE) / VLOOKUP("transport|SO2|Minor restricted activity days", US_national_yearly!$D:$AM, 10, FALSE), 1)</f>
        <v>4.6383295946764287</v>
      </c>
      <c r="X14" s="7">
        <f>$B14 * IFERROR(VLOOKUP("transport|SO2|Minor restricted activity days", US_national_yearly!$D:$AM, 32, FALSE) / VLOOKUP("transport|SO2|Minor restricted activity days", US_national_yearly!$D:$AM, 10, FALSE), 1)</f>
        <v>4.6700005563799465</v>
      </c>
      <c r="Y14" s="7">
        <f>$B14 * IFERROR(VLOOKUP("transport|SO2|Minor restricted activity days", US_national_yearly!$D:$AM, 33, FALSE) / VLOOKUP("transport|SO2|Minor restricted activity days", US_national_yearly!$D:$AM, 10, FALSE), 1)</f>
        <v>4.7016715180834652</v>
      </c>
      <c r="Z14" s="7">
        <f>$B14 * IFERROR(VLOOKUP("transport|SO2|Minor restricted activity days", US_national_yearly!$D:$AM, 34, FALSE) / VLOOKUP("transport|SO2|Minor restricted activity days", US_national_yearly!$D:$AM, 10, FALSE), 1)</f>
        <v>4.7333424797869839</v>
      </c>
      <c r="AA14" s="7">
        <f>$B14 * IFERROR(VLOOKUP("transport|SO2|Minor restricted activity days", US_national_yearly!$D:$AM, 35, FALSE) / VLOOKUP("transport|SO2|Minor restricted activity days", US_national_yearly!$D:$AM, 10, FALSE), 1)</f>
        <v>4.7650134414905017</v>
      </c>
      <c r="AB14" s="7">
        <f>$B14 * IFERROR(VLOOKUP("transport|SO2|Minor restricted activity days", US_national_yearly!$D:$AM, 36, FALSE) / VLOOKUP("transport|SO2|Minor restricted activity days", US_national_yearly!$D:$AM, 10, FALSE), 1)</f>
        <v>4.7966844031940212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0.69037122814401564</v>
      </c>
      <c r="C15" s="7">
        <f>$B15 * IFERROR(VLOOKUP("transport|SO2|Work loss days", US_national_yearly!$D:$AM, 11, FALSE) / VLOOKUP("transport|SO2|Work loss days", US_national_yearly!$D:$AM, 10, FALSE), 1)</f>
        <v>0.6926079211984012</v>
      </c>
      <c r="D15" s="7">
        <f>$B15 * IFERROR(VLOOKUP("transport|SO2|Work loss days", US_national_yearly!$D:$AM, 12, FALSE) / VLOOKUP("transport|SO2|Work loss days", US_national_yearly!$D:$AM, 10, FALSE), 1)</f>
        <v>0.69484461425278676</v>
      </c>
      <c r="E15" s="7">
        <f>$B15 * IFERROR(VLOOKUP("transport|SO2|Work loss days", US_national_yearly!$D:$AM, 13, FALSE) / VLOOKUP("transport|SO2|Work loss days", US_national_yearly!$D:$AM, 10, FALSE), 1)</f>
        <v>0.69708130730717233</v>
      </c>
      <c r="F15" s="7">
        <f>$B15 * IFERROR(VLOOKUP("transport|SO2|Work loss days", US_national_yearly!$D:$AM, 14, FALSE) / VLOOKUP("transport|SO2|Work loss days", US_national_yearly!$D:$AM, 10, FALSE), 1)</f>
        <v>0.69931800036155789</v>
      </c>
      <c r="G15" s="7">
        <f>$B15 * IFERROR(VLOOKUP("transport|SO2|Work loss days", US_national_yearly!$D:$AM, 15, FALSE) / VLOOKUP("transport|SO2|Work loss days", US_national_yearly!$D:$AM, 10, FALSE), 1)</f>
        <v>0.70224051351400008</v>
      </c>
      <c r="H15" s="7">
        <f>$B15 * IFERROR(VLOOKUP("transport|SO2|Work loss days", US_national_yearly!$D:$AM, 16, FALSE) / VLOOKUP("transport|SO2|Work loss days", US_national_yearly!$D:$AM, 10, FALSE), 1)</f>
        <v>0.70516302666644215</v>
      </c>
      <c r="I15" s="7">
        <f>$B15 * IFERROR(VLOOKUP("transport|SO2|Work loss days", US_national_yearly!$D:$AM, 17, FALSE) / VLOOKUP("transport|SO2|Work loss days", US_national_yearly!$D:$AM, 10, FALSE), 1)</f>
        <v>0.70943827108937796</v>
      </c>
      <c r="J15" s="7">
        <f>$B15 * IFERROR(VLOOKUP("transport|SO2|Work loss days", US_national_yearly!$D:$AM, 18, FALSE) / VLOOKUP("transport|SO2|Work loss days", US_national_yearly!$D:$AM, 10, FALSE), 1)</f>
        <v>0.71371351551231355</v>
      </c>
      <c r="K15" s="7">
        <f>$B15 * IFERROR(VLOOKUP("transport|SO2|Work loss days", US_national_yearly!$D:$AM, 19, FALSE) / VLOOKUP("transport|SO2|Work loss days", US_national_yearly!$D:$AM, 10, FALSE), 1)</f>
        <v>0.71798875993524935</v>
      </c>
      <c r="L15" s="7">
        <f>$B15 * IFERROR(VLOOKUP("transport|SO2|Work loss days", US_national_yearly!$D:$AM, 20, FALSE) / VLOOKUP("transport|SO2|Work loss days", US_national_yearly!$D:$AM, 10, FALSE), 1)</f>
        <v>0.72226400435818516</v>
      </c>
      <c r="M15" s="7">
        <f>$B15 * IFERROR(VLOOKUP("transport|SO2|Work loss days", US_national_yearly!$D:$AM, 21, FALSE) / VLOOKUP("transport|SO2|Work loss days", US_national_yearly!$D:$AM, 10, FALSE), 1)</f>
        <v>0.72653924878112086</v>
      </c>
      <c r="N15" s="7">
        <f>$B15 * IFERROR(VLOOKUP("transport|SO2|Work loss days", US_national_yearly!$D:$AM, 22, FALSE) / VLOOKUP("transport|SO2|Work loss days", US_national_yearly!$D:$AM, 10, FALSE), 1)</f>
        <v>0.73189971248165187</v>
      </c>
      <c r="O15" s="7">
        <f>$B15 * IFERROR(VLOOKUP("transport|SO2|Work loss days", US_national_yearly!$D:$AM, 23, FALSE) / VLOOKUP("transport|SO2|Work loss days", US_national_yearly!$D:$AM, 10, FALSE), 1)</f>
        <v>0.73726017618218287</v>
      </c>
      <c r="P15" s="7">
        <f>$B15 * IFERROR(VLOOKUP("transport|SO2|Work loss days", US_national_yearly!$D:$AM, 24, FALSE) / VLOOKUP("transport|SO2|Work loss days", US_national_yearly!$D:$AM, 10, FALSE), 1)</f>
        <v>0.74262063988271365</v>
      </c>
      <c r="Q15" s="7">
        <f>$B15 * IFERROR(VLOOKUP("transport|SO2|Work loss days", US_national_yearly!$D:$AM, 25, FALSE) / VLOOKUP("transport|SO2|Work loss days", US_national_yearly!$D:$AM, 10, FALSE), 1)</f>
        <v>0.74798110358324466</v>
      </c>
      <c r="R15" s="7">
        <f>$B15 * IFERROR(VLOOKUP("transport|SO2|Work loss days", US_national_yearly!$D:$AM, 26, FALSE) / VLOOKUP("transport|SO2|Work loss days", US_national_yearly!$D:$AM, 10, FALSE), 1)</f>
        <v>0.75334156728377566</v>
      </c>
      <c r="S15" s="7">
        <f>$B15 * IFERROR(VLOOKUP("transport|SO2|Work loss days", US_national_yearly!$D:$AM, 27, FALSE) / VLOOKUP("transport|SO2|Work loss days", US_national_yearly!$D:$AM, 10, FALSE), 1)</f>
        <v>0.7593318677958959</v>
      </c>
      <c r="T15" s="7">
        <f>$B15 * IFERROR(VLOOKUP("transport|SO2|Work loss days", US_national_yearly!$D:$AM, 28, FALSE) / VLOOKUP("transport|SO2|Work loss days", US_national_yearly!$D:$AM, 10, FALSE), 1)</f>
        <v>0.76532216830801636</v>
      </c>
      <c r="U15" s="7">
        <f>$B15 * IFERROR(VLOOKUP("transport|SO2|Work loss days", US_national_yearly!$D:$AM, 29, FALSE) / VLOOKUP("transport|SO2|Work loss days", US_national_yearly!$D:$AM, 10, FALSE), 1)</f>
        <v>0.7713124688201366</v>
      </c>
      <c r="V15" s="7">
        <f>$B15 * IFERROR(VLOOKUP("transport|SO2|Work loss days", US_national_yearly!$D:$AM, 30, FALSE) / VLOOKUP("transport|SO2|Work loss days", US_national_yearly!$D:$AM, 10, FALSE), 1)</f>
        <v>0.77730276933225684</v>
      </c>
      <c r="W15" s="7">
        <f>$B15 * IFERROR(VLOOKUP("transport|SO2|Work loss days", US_national_yearly!$D:$AM, 31, FALSE) / VLOOKUP("transport|SO2|Work loss days", US_national_yearly!$D:$AM, 10, FALSE), 1)</f>
        <v>0.78329306984437719</v>
      </c>
      <c r="X15" s="7">
        <f>$B15 * IFERROR(VLOOKUP("transport|SO2|Work loss days", US_national_yearly!$D:$AM, 32, FALSE) / VLOOKUP("transport|SO2|Work loss days", US_national_yearly!$D:$AM, 10, FALSE), 1)</f>
        <v>0.78867153402151358</v>
      </c>
      <c r="Y15" s="7">
        <f>$B15 * IFERROR(VLOOKUP("transport|SO2|Work loss days", US_national_yearly!$D:$AM, 33, FALSE) / VLOOKUP("transport|SO2|Work loss days", US_national_yearly!$D:$AM, 10, FALSE), 1)</f>
        <v>0.79404999819864996</v>
      </c>
      <c r="Z15" s="7">
        <f>$B15 * IFERROR(VLOOKUP("transport|SO2|Work loss days", US_national_yearly!$D:$AM, 34, FALSE) / VLOOKUP("transport|SO2|Work loss days", US_national_yearly!$D:$AM, 10, FALSE), 1)</f>
        <v>0.79942846237578646</v>
      </c>
      <c r="AA15" s="7">
        <f>$B15 * IFERROR(VLOOKUP("transport|SO2|Work loss days", US_national_yearly!$D:$AM, 35, FALSE) / VLOOKUP("transport|SO2|Work loss days", US_national_yearly!$D:$AM, 10, FALSE), 1)</f>
        <v>0.80480692655292296</v>
      </c>
      <c r="AB15" s="7">
        <f>$B15 * IFERROR(VLOOKUP("transport|SO2|Work loss days", US_national_yearly!$D:$AM, 36, FALSE) / VLOOKUP("transport|SO2|Work loss days", US_national_yearly!$D:$AM, 10, FALSE), 1)</f>
        <v>0.81018539073005935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1.7853251487869467E-3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1.8393202180492574E-3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1.8933152873115684E-3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1.9473103565738792E-3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2.0013054258361906E-3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2.0530275680608885E-3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2.1047497102855868E-3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2.1490654926842093E-3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2.1933812750828323E-3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2.2376970574814552E-3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2.2820128398800782E-3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2.3263286222787007E-3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2.3560987333686272E-3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2.3858688444585536E-3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2.4156389555484801E-3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2.4454090666384061E-3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2.475179177728333E-3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2.4908361365277446E-3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2.5064930953271566E-3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2.5221500541265686E-3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2.5378070129259806E-3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2.5534639717253926E-3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2.563975005746952E-3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2.5744860397685114E-3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2.5849970737900712E-3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2.595508107811631E-3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2.6060191418331899E-3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2.8918767967152172E-2</v>
      </c>
      <c r="C2" s="7">
        <f>$B2 * IFERROR(VLOOKUP("electricity|PM25|Premature mortality", US_national_yearly!$D:$AM, 11, FALSE) / VLOOKUP("electricity|PM25|Premature mortality", US_national_yearly!$D:$AM, 10, FALSE), 1)</f>
        <v>2.9276962702276924E-2</v>
      </c>
      <c r="D2" s="7">
        <f>$B2 * IFERROR(VLOOKUP("electricity|PM25|Premature mortality", US_national_yearly!$D:$AM, 12, FALSE) / VLOOKUP("electricity|PM25|Premature mortality", US_national_yearly!$D:$AM, 10, FALSE), 1)</f>
        <v>2.9635157437401676E-2</v>
      </c>
      <c r="E2" s="7">
        <f>$B2 * IFERROR(VLOOKUP("electricity|PM25|Premature mortality", US_national_yearly!$D:$AM, 13, FALSE) / VLOOKUP("electricity|PM25|Premature mortality", US_national_yearly!$D:$AM, 10, FALSE), 1)</f>
        <v>2.9993352172526425E-2</v>
      </c>
      <c r="F2" s="7">
        <f>$B2 * IFERROR(VLOOKUP("electricity|PM25|Premature mortality", US_national_yearly!$D:$AM, 14, FALSE) / VLOOKUP("electricity|PM25|Premature mortality", US_national_yearly!$D:$AM, 10, FALSE), 1)</f>
        <v>3.0351546907651183E-2</v>
      </c>
      <c r="G2" s="7">
        <f>$B2 * IFERROR(VLOOKUP("electricity|PM25|Premature mortality", US_national_yearly!$D:$AM, 15, FALSE) / VLOOKUP("electricity|PM25|Premature mortality", US_national_yearly!$D:$AM, 10, FALSE), 1)</f>
        <v>3.1055060416832203E-2</v>
      </c>
      <c r="H2" s="7">
        <f>$B2 * IFERROR(VLOOKUP("electricity|PM25|Premature mortality", US_national_yearly!$D:$AM, 16, FALSE) / VLOOKUP("electricity|PM25|Premature mortality", US_national_yearly!$D:$AM, 10, FALSE), 1)</f>
        <v>3.1758573926013223E-2</v>
      </c>
      <c r="I2" s="7">
        <f>$B2 * IFERROR(VLOOKUP("electricity|PM25|Premature mortality", US_national_yearly!$D:$AM, 17, FALSE) / VLOOKUP("electricity|PM25|Premature mortality", US_national_yearly!$D:$AM, 10, FALSE), 1)</f>
        <v>3.2231270628737943E-2</v>
      </c>
      <c r="J2" s="7">
        <f>$B2 * IFERROR(VLOOKUP("electricity|PM25|Premature mortality", US_national_yearly!$D:$AM, 18, FALSE) / VLOOKUP("electricity|PM25|Premature mortality", US_national_yearly!$D:$AM, 10, FALSE), 1)</f>
        <v>3.270396733146267E-2</v>
      </c>
      <c r="K2" s="7">
        <f>$B2 * IFERROR(VLOOKUP("electricity|PM25|Premature mortality", US_national_yearly!$D:$AM, 19, FALSE) / VLOOKUP("electricity|PM25|Premature mortality", US_national_yearly!$D:$AM, 10, FALSE), 1)</f>
        <v>3.3176664034187391E-2</v>
      </c>
      <c r="L2" s="7">
        <f>$B2 * IFERROR(VLOOKUP("electricity|PM25|Premature mortality", US_national_yearly!$D:$AM, 20, FALSE) / VLOOKUP("electricity|PM25|Premature mortality", US_national_yearly!$D:$AM, 10, FALSE), 1)</f>
        <v>3.3649360736912118E-2</v>
      </c>
      <c r="M2" s="7">
        <f>$B2 * IFERROR(VLOOKUP("electricity|PM25|Premature mortality", US_national_yearly!$D:$AM, 21, FALSE) / VLOOKUP("electricity|PM25|Premature mortality", US_national_yearly!$D:$AM, 10, FALSE), 1)</f>
        <v>3.4122057439636838E-2</v>
      </c>
      <c r="N2" s="7">
        <f>$B2 * IFERROR(VLOOKUP("electricity|PM25|Premature mortality", US_national_yearly!$D:$AM, 22, FALSE) / VLOOKUP("electricity|PM25|Premature mortality", US_national_yearly!$D:$AM, 10, FALSE), 1)</f>
        <v>3.4498850228774997E-2</v>
      </c>
      <c r="O2" s="7">
        <f>$B2 * IFERROR(VLOOKUP("electricity|PM25|Premature mortality", US_national_yearly!$D:$AM, 23, FALSE) / VLOOKUP("electricity|PM25|Premature mortality", US_national_yearly!$D:$AM, 10, FALSE), 1)</f>
        <v>3.4875643017913141E-2</v>
      </c>
      <c r="P2" s="7">
        <f>$B2 * IFERROR(VLOOKUP("electricity|PM25|Premature mortality", US_national_yearly!$D:$AM, 24, FALSE) / VLOOKUP("electricity|PM25|Premature mortality", US_national_yearly!$D:$AM, 10, FALSE), 1)</f>
        <v>3.5252435807051299E-2</v>
      </c>
      <c r="Q2" s="7">
        <f>$B2 * IFERROR(VLOOKUP("electricity|PM25|Premature mortality", US_national_yearly!$D:$AM, 25, FALSE) / VLOOKUP("electricity|PM25|Premature mortality", US_national_yearly!$D:$AM, 10, FALSE), 1)</f>
        <v>3.5629228596189451E-2</v>
      </c>
      <c r="R2" s="7">
        <f>$B2 * IFERROR(VLOOKUP("electricity|PM25|Premature mortality", US_national_yearly!$D:$AM, 26, FALSE) / VLOOKUP("electricity|PM25|Premature mortality", US_national_yearly!$D:$AM, 10, FALSE), 1)</f>
        <v>3.6006021385327602E-2</v>
      </c>
      <c r="S2" s="7">
        <f>$B2 * IFERROR(VLOOKUP("electricity|PM25|Premature mortality", US_national_yearly!$D:$AM, 27, FALSE) / VLOOKUP("electricity|PM25|Premature mortality", US_national_yearly!$D:$AM, 10, FALSE), 1)</f>
        <v>3.6221624238786915E-2</v>
      </c>
      <c r="T2" s="7">
        <f>$B2 * IFERROR(VLOOKUP("electricity|PM25|Premature mortality", US_national_yearly!$D:$AM, 28, FALSE) / VLOOKUP("electricity|PM25|Premature mortality", US_national_yearly!$D:$AM, 10, FALSE), 1)</f>
        <v>3.6437227092246213E-2</v>
      </c>
      <c r="U2" s="7">
        <f>$B2 * IFERROR(VLOOKUP("electricity|PM25|Premature mortality", US_national_yearly!$D:$AM, 29, FALSE) / VLOOKUP("electricity|PM25|Premature mortality", US_national_yearly!$D:$AM, 10, FALSE), 1)</f>
        <v>3.6652829945705526E-2</v>
      </c>
      <c r="V2" s="7">
        <f>$B2 * IFERROR(VLOOKUP("electricity|PM25|Premature mortality", US_national_yearly!$D:$AM, 30, FALSE) / VLOOKUP("electricity|PM25|Premature mortality", US_national_yearly!$D:$AM, 10, FALSE), 1)</f>
        <v>3.6868432799164831E-2</v>
      </c>
      <c r="W2" s="7">
        <f>$B2 * IFERROR(VLOOKUP("electricity|PM25|Premature mortality", US_national_yearly!$D:$AM, 31, FALSE) / VLOOKUP("electricity|PM25|Premature mortality", US_national_yearly!$D:$AM, 10, FALSE), 1)</f>
        <v>3.7084035652624137E-2</v>
      </c>
      <c r="X2" s="7">
        <f>$B2 * IFERROR(VLOOKUP("electricity|PM25|Premature mortality", US_national_yearly!$D:$AM, 32, FALSE) / VLOOKUP("electricity|PM25|Premature mortality", US_national_yearly!$D:$AM, 10, FALSE), 1)</f>
        <v>3.714392873131489E-2</v>
      </c>
      <c r="Y2" s="7">
        <f>$B2 * IFERROR(VLOOKUP("electricity|PM25|Premature mortality", US_national_yearly!$D:$AM, 33, FALSE) / VLOOKUP("electricity|PM25|Premature mortality", US_national_yearly!$D:$AM, 10, FALSE), 1)</f>
        <v>3.7203821810005637E-2</v>
      </c>
      <c r="Z2" s="7">
        <f>$B2 * IFERROR(VLOOKUP("electricity|PM25|Premature mortality", US_national_yearly!$D:$AM, 34, FALSE) / VLOOKUP("electricity|PM25|Premature mortality", US_national_yearly!$D:$AM, 10, FALSE), 1)</f>
        <v>3.7263714888696391E-2</v>
      </c>
      <c r="AA2" s="7">
        <f>$B2 * IFERROR(VLOOKUP("electricity|PM25|Premature mortality", US_national_yearly!$D:$AM, 35, FALSE) / VLOOKUP("electricity|PM25|Premature mortality", US_national_yearly!$D:$AM, 10, FALSE), 1)</f>
        <v>3.7323607967387151E-2</v>
      </c>
      <c r="AB2" s="7">
        <f>$B2 * IFERROR(VLOOKUP("electricity|PM25|Premature mortality", US_national_yearly!$D:$AM, 36, FALSE) / VLOOKUP("electricity|PM25|Premature mortality", US_national_yearly!$D:$AM, 10, FALSE), 1)</f>
        <v>3.7383501046077905E-2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5.2203837825154755E-5</v>
      </c>
      <c r="C3" s="7">
        <f>$B3 * IFERROR(VLOOKUP("electricity|PM25|Infant mortality", US_national_yearly!$D:$AM, 11, FALSE) / VLOOKUP("electricity|PM25|Infant mortality", US_national_yearly!$D:$AM, 10, FALSE), 1)</f>
        <v>5.1748985917679968E-5</v>
      </c>
      <c r="D3" s="7">
        <f>$B3 * IFERROR(VLOOKUP("electricity|PM25|Infant mortality", US_national_yearly!$D:$AM, 12, FALSE) / VLOOKUP("electricity|PM25|Infant mortality", US_national_yearly!$D:$AM, 10, FALSE), 1)</f>
        <v>5.1294134010205189E-5</v>
      </c>
      <c r="E3" s="7">
        <f>$B3 * IFERROR(VLOOKUP("electricity|PM25|Infant mortality", US_national_yearly!$D:$AM, 13, FALSE) / VLOOKUP("electricity|PM25|Infant mortality", US_national_yearly!$D:$AM, 10, FALSE), 1)</f>
        <v>5.0839282102730396E-5</v>
      </c>
      <c r="F3" s="7">
        <f>$B3 * IFERROR(VLOOKUP("electricity|PM25|Infant mortality", US_national_yearly!$D:$AM, 14, FALSE) / VLOOKUP("electricity|PM25|Infant mortality", US_national_yearly!$D:$AM, 10, FALSE), 1)</f>
        <v>5.0384430195255609E-5</v>
      </c>
      <c r="G3" s="7">
        <f>$B3 * IFERROR(VLOOKUP("electricity|PM25|Infant mortality", US_national_yearly!$D:$AM, 15, FALSE) / VLOOKUP("electricity|PM25|Infant mortality", US_national_yearly!$D:$AM, 10, FALSE), 1)</f>
        <v>3.3413383702629111E-5</v>
      </c>
      <c r="H3" s="7">
        <f>$B3 * IFERROR(VLOOKUP("electricity|PM25|Infant mortality", US_national_yearly!$D:$AM, 16, FALSE) / VLOOKUP("electricity|PM25|Infant mortality", US_national_yearly!$D:$AM, 10, FALSE), 1)</f>
        <v>1.6442337210002613E-5</v>
      </c>
      <c r="I3" s="7">
        <f>$B3 * IFERROR(VLOOKUP("electricity|PM25|Infant mortality", US_national_yearly!$D:$AM, 17, FALSE) / VLOOKUP("electricity|PM25|Infant mortality", US_national_yearly!$D:$AM, 10, FALSE), 1)</f>
        <v>1.6326246775020942E-5</v>
      </c>
      <c r="J3" s="7">
        <f>$B3 * IFERROR(VLOOKUP("electricity|PM25|Infant mortality", US_national_yearly!$D:$AM, 18, FALSE) / VLOOKUP("electricity|PM25|Infant mortality", US_national_yearly!$D:$AM, 10, FALSE), 1)</f>
        <v>1.6210156340039278E-5</v>
      </c>
      <c r="K3" s="7">
        <f>$B3 * IFERROR(VLOOKUP("electricity|PM25|Infant mortality", US_national_yearly!$D:$AM, 19, FALSE) / VLOOKUP("electricity|PM25|Infant mortality", US_national_yearly!$D:$AM, 10, FALSE), 1)</f>
        <v>1.6094065905057611E-5</v>
      </c>
      <c r="L3" s="7">
        <f>$B3 * IFERROR(VLOOKUP("electricity|PM25|Infant mortality", US_national_yearly!$D:$AM, 20, FALSE) / VLOOKUP("electricity|PM25|Infant mortality", US_national_yearly!$D:$AM, 10, FALSE), 1)</f>
        <v>1.5977975470075944E-5</v>
      </c>
      <c r="M3" s="7">
        <f>$B3 * IFERROR(VLOOKUP("electricity|PM25|Infant mortality", US_national_yearly!$D:$AM, 21, FALSE) / VLOOKUP("electricity|PM25|Infant mortality", US_national_yearly!$D:$AM, 10, FALSE), 1)</f>
        <v>1.5861885035094276E-5</v>
      </c>
      <c r="N3" s="7">
        <f>$B3 * IFERROR(VLOOKUP("electricity|PM25|Infant mortality", US_national_yearly!$D:$AM, 22, FALSE) / VLOOKUP("electricity|PM25|Infant mortality", US_national_yearly!$D:$AM, 10, FALSE), 1)</f>
        <v>1.5787223472341716E-5</v>
      </c>
      <c r="O3" s="7">
        <f>$B3 * IFERROR(VLOOKUP("electricity|PM25|Infant mortality", US_national_yearly!$D:$AM, 23, FALSE) / VLOOKUP("electricity|PM25|Infant mortality", US_national_yearly!$D:$AM, 10, FALSE), 1)</f>
        <v>1.5712561909589159E-5</v>
      </c>
      <c r="P3" s="7">
        <f>$B3 * IFERROR(VLOOKUP("electricity|PM25|Infant mortality", US_national_yearly!$D:$AM, 24, FALSE) / VLOOKUP("electricity|PM25|Infant mortality", US_national_yearly!$D:$AM, 10, FALSE), 1)</f>
        <v>1.5637900346836595E-5</v>
      </c>
      <c r="Q3" s="7">
        <f>$B3 * IFERROR(VLOOKUP("electricity|PM25|Infant mortality", US_national_yearly!$D:$AM, 25, FALSE) / VLOOKUP("electricity|PM25|Infant mortality", US_national_yearly!$D:$AM, 10, FALSE), 1)</f>
        <v>1.5563238784084035E-5</v>
      </c>
      <c r="R3" s="7">
        <f>$B3 * IFERROR(VLOOKUP("electricity|PM25|Infant mortality", US_national_yearly!$D:$AM, 26, FALSE) / VLOOKUP("electricity|PM25|Infant mortality", US_national_yearly!$D:$AM, 10, FALSE), 1)</f>
        <v>1.5488577221331474E-5</v>
      </c>
      <c r="S3" s="7">
        <f>$B3 * IFERROR(VLOOKUP("electricity|PM25|Infant mortality", US_national_yearly!$D:$AM, 27, FALSE) / VLOOKUP("electricity|PM25|Infant mortality", US_national_yearly!$D:$AM, 10, FALSE), 1)</f>
        <v>1.5399131000728016E-5</v>
      </c>
      <c r="T3" s="7">
        <f>$B3 * IFERROR(VLOOKUP("electricity|PM25|Infant mortality", US_national_yearly!$D:$AM, 28, FALSE) / VLOOKUP("electricity|PM25|Infant mortality", US_national_yearly!$D:$AM, 10, FALSE), 1)</f>
        <v>1.5309684780124554E-5</v>
      </c>
      <c r="U3" s="7">
        <f>$B3 * IFERROR(VLOOKUP("electricity|PM25|Infant mortality", US_national_yearly!$D:$AM, 29, FALSE) / VLOOKUP("electricity|PM25|Infant mortality", US_national_yearly!$D:$AM, 10, FALSE), 1)</f>
        <v>1.5220238559521099E-5</v>
      </c>
      <c r="V3" s="7">
        <f>$B3 * IFERROR(VLOOKUP("electricity|PM25|Infant mortality", US_national_yearly!$D:$AM, 30, FALSE) / VLOOKUP("electricity|PM25|Infant mortality", US_national_yearly!$D:$AM, 10, FALSE), 1)</f>
        <v>1.5130792338917641E-5</v>
      </c>
      <c r="W3" s="7">
        <f>$B3 * IFERROR(VLOOKUP("electricity|PM25|Infant mortality", US_national_yearly!$D:$AM, 31, FALSE) / VLOOKUP("electricity|PM25|Infant mortality", US_national_yearly!$D:$AM, 10, FALSE), 1)</f>
        <v>1.5041346118314182E-5</v>
      </c>
      <c r="X3" s="7">
        <f>$B3 * IFERROR(VLOOKUP("electricity|PM25|Infant mortality", US_national_yearly!$D:$AM, 32, FALSE) / VLOOKUP("electricity|PM25|Infant mortality", US_national_yearly!$D:$AM, 10, FALSE), 1)</f>
        <v>1.4948914617191616E-5</v>
      </c>
      <c r="Y3" s="7">
        <f>$B3 * IFERROR(VLOOKUP("electricity|PM25|Infant mortality", US_national_yearly!$D:$AM, 33, FALSE) / VLOOKUP("electricity|PM25|Infant mortality", US_national_yearly!$D:$AM, 10, FALSE), 1)</f>
        <v>1.4856483116069051E-5</v>
      </c>
      <c r="Z3" s="7">
        <f>$B3 * IFERROR(VLOOKUP("electricity|PM25|Infant mortality", US_national_yearly!$D:$AM, 34, FALSE) / VLOOKUP("electricity|PM25|Infant mortality", US_national_yearly!$D:$AM, 10, FALSE), 1)</f>
        <v>1.4764051614946486E-5</v>
      </c>
      <c r="AA3" s="7">
        <f>$B3 * IFERROR(VLOOKUP("electricity|PM25|Infant mortality", US_national_yearly!$D:$AM, 35, FALSE) / VLOOKUP("electricity|PM25|Infant mortality", US_national_yearly!$D:$AM, 10, FALSE), 1)</f>
        <v>1.467162011382392E-5</v>
      </c>
      <c r="AB3" s="7">
        <f>$B3 * IFERROR(VLOOKUP("electricity|PM25|Infant mortality", US_national_yearly!$D:$AM, 36, FALSE) / VLOOKUP("electricity|PM25|Infant mortality", US_national_yearly!$D:$AM, 10, FALSE), 1)</f>
        <v>1.4579188612701355E-5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5.599031161947339E-2</v>
      </c>
      <c r="C6" s="7">
        <f>$B6 * IFERROR(VLOOKUP("electricity|PM25|Asthma symptoms cough", US_national_yearly!$D:$AM, 11, FALSE) / VLOOKUP("electricity|PM25|Asthma symptoms cough", US_national_yearly!$D:$AM, 10, FALSE), 1)</f>
        <v>5.599031161947339E-2</v>
      </c>
      <c r="D6" s="7">
        <f>$B6 * IFERROR(VLOOKUP("electricity|PM25|Asthma symptoms cough", US_national_yearly!$D:$AM, 12, FALSE) / VLOOKUP("electricity|PM25|Asthma symptoms cough", US_national_yearly!$D:$AM, 10, FALSE), 1)</f>
        <v>5.599031161947339E-2</v>
      </c>
      <c r="E6" s="7">
        <f>$B6 * IFERROR(VLOOKUP("electricity|PM25|Asthma symptoms cough", US_national_yearly!$D:$AM, 13, FALSE) / VLOOKUP("electricity|PM25|Asthma symptoms cough", US_national_yearly!$D:$AM, 10, FALSE), 1)</f>
        <v>5.599031161947339E-2</v>
      </c>
      <c r="F6" s="7">
        <f>$B6 * IFERROR(VLOOKUP("electricity|PM25|Asthma symptoms cough", US_national_yearly!$D:$AM, 14, FALSE) / VLOOKUP("electricity|PM25|Asthma symptoms cough", US_national_yearly!$D:$AM, 10, FALSE), 1)</f>
        <v>5.599031161947339E-2</v>
      </c>
      <c r="G6" s="7">
        <f>$B6 * IFERROR(VLOOKUP("electricity|PM25|Asthma symptoms cough", US_national_yearly!$D:$AM, 15, FALSE) / VLOOKUP("electricity|PM25|Asthma symptoms cough", US_national_yearly!$D:$AM, 10, FALSE), 1)</f>
        <v>5.599031161947339E-2</v>
      </c>
      <c r="H6" s="7">
        <f>$B6 * IFERROR(VLOOKUP("electricity|PM25|Asthma symptoms cough", US_national_yearly!$D:$AM, 16, FALSE) / VLOOKUP("electricity|PM25|Asthma symptoms cough", US_national_yearly!$D:$AM, 10, FALSE), 1)</f>
        <v>5.599031161947339E-2</v>
      </c>
      <c r="I6" s="7">
        <f>$B6 * IFERROR(VLOOKUP("electricity|PM25|Asthma symptoms cough", US_national_yearly!$D:$AM, 17, FALSE) / VLOOKUP("electricity|PM25|Asthma symptoms cough", US_national_yearly!$D:$AM, 10, FALSE), 1)</f>
        <v>5.599031161947339E-2</v>
      </c>
      <c r="J6" s="7">
        <f>$B6 * IFERROR(VLOOKUP("electricity|PM25|Asthma symptoms cough", US_national_yearly!$D:$AM, 18, FALSE) / VLOOKUP("electricity|PM25|Asthma symptoms cough", US_national_yearly!$D:$AM, 10, FALSE), 1)</f>
        <v>5.599031161947339E-2</v>
      </c>
      <c r="K6" s="7">
        <f>$B6 * IFERROR(VLOOKUP("electricity|PM25|Asthma symptoms cough", US_national_yearly!$D:$AM, 19, FALSE) / VLOOKUP("electricity|PM25|Asthma symptoms cough", US_national_yearly!$D:$AM, 10, FALSE), 1)</f>
        <v>5.599031161947339E-2</v>
      </c>
      <c r="L6" s="7">
        <f>$B6 * IFERROR(VLOOKUP("electricity|PM25|Asthma symptoms cough", US_national_yearly!$D:$AM, 20, FALSE) / VLOOKUP("electricity|PM25|Asthma symptoms cough", US_national_yearly!$D:$AM, 10, FALSE), 1)</f>
        <v>5.599031161947339E-2</v>
      </c>
      <c r="M6" s="7">
        <f>$B6 * IFERROR(VLOOKUP("electricity|PM25|Asthma symptoms cough", US_national_yearly!$D:$AM, 21, FALSE) / VLOOKUP("electricity|PM25|Asthma symptoms cough", US_national_yearly!$D:$AM, 10, FALSE), 1)</f>
        <v>5.599031161947339E-2</v>
      </c>
      <c r="N6" s="7">
        <f>$B6 * IFERROR(VLOOKUP("electricity|PM25|Asthma symptoms cough", US_national_yearly!$D:$AM, 22, FALSE) / VLOOKUP("electricity|PM25|Asthma symptoms cough", US_national_yearly!$D:$AM, 10, FALSE), 1)</f>
        <v>5.599031161947339E-2</v>
      </c>
      <c r="O6" s="7">
        <f>$B6 * IFERROR(VLOOKUP("electricity|PM25|Asthma symptoms cough", US_national_yearly!$D:$AM, 23, FALSE) / VLOOKUP("electricity|PM25|Asthma symptoms cough", US_national_yearly!$D:$AM, 10, FALSE), 1)</f>
        <v>5.599031161947339E-2</v>
      </c>
      <c r="P6" s="7">
        <f>$B6 * IFERROR(VLOOKUP("electricity|PM25|Asthma symptoms cough", US_national_yearly!$D:$AM, 24, FALSE) / VLOOKUP("electricity|PM25|Asthma symptoms cough", US_national_yearly!$D:$AM, 10, FALSE), 1)</f>
        <v>5.599031161947339E-2</v>
      </c>
      <c r="Q6" s="7">
        <f>$B6 * IFERROR(VLOOKUP("electricity|PM25|Asthma symptoms cough", US_national_yearly!$D:$AM, 25, FALSE) / VLOOKUP("electricity|PM25|Asthma symptoms cough", US_national_yearly!$D:$AM, 10, FALSE), 1)</f>
        <v>5.599031161947339E-2</v>
      </c>
      <c r="R6" s="7">
        <f>$B6 * IFERROR(VLOOKUP("electricity|PM25|Asthma symptoms cough", US_national_yearly!$D:$AM, 26, FALSE) / VLOOKUP("electricity|PM25|Asthma symptoms cough", US_national_yearly!$D:$AM, 10, FALSE), 1)</f>
        <v>5.599031161947339E-2</v>
      </c>
      <c r="S6" s="7">
        <f>$B6 * IFERROR(VLOOKUP("electricity|PM25|Asthma symptoms cough", US_national_yearly!$D:$AM, 27, FALSE) / VLOOKUP("electricity|PM25|Asthma symptoms cough", US_national_yearly!$D:$AM, 10, FALSE), 1)</f>
        <v>5.599031161947339E-2</v>
      </c>
      <c r="T6" s="7">
        <f>$B6 * IFERROR(VLOOKUP("electricity|PM25|Asthma symptoms cough", US_national_yearly!$D:$AM, 28, FALSE) / VLOOKUP("electricity|PM25|Asthma symptoms cough", US_national_yearly!$D:$AM, 10, FALSE), 1)</f>
        <v>5.599031161947339E-2</v>
      </c>
      <c r="U6" s="7">
        <f>$B6 * IFERROR(VLOOKUP("electricity|PM25|Asthma symptoms cough", US_national_yearly!$D:$AM, 29, FALSE) / VLOOKUP("electricity|PM25|Asthma symptoms cough", US_national_yearly!$D:$AM, 10, FALSE), 1)</f>
        <v>5.599031161947339E-2</v>
      </c>
      <c r="V6" s="7">
        <f>$B6 * IFERROR(VLOOKUP("electricity|PM25|Asthma symptoms cough", US_national_yearly!$D:$AM, 30, FALSE) / VLOOKUP("electricity|PM25|Asthma symptoms cough", US_national_yearly!$D:$AM, 10, FALSE), 1)</f>
        <v>5.599031161947339E-2</v>
      </c>
      <c r="W6" s="7">
        <f>$B6 * IFERROR(VLOOKUP("electricity|PM25|Asthma symptoms cough", US_national_yearly!$D:$AM, 31, FALSE) / VLOOKUP("electricity|PM25|Asthma symptoms cough", US_national_yearly!$D:$AM, 10, FALSE), 1)</f>
        <v>5.599031161947339E-2</v>
      </c>
      <c r="X6" s="7">
        <f>$B6 * IFERROR(VLOOKUP("electricity|PM25|Asthma symptoms cough", US_national_yearly!$D:$AM, 32, FALSE) / VLOOKUP("electricity|PM25|Asthma symptoms cough", US_national_yearly!$D:$AM, 10, FALSE), 1)</f>
        <v>5.599031161947339E-2</v>
      </c>
      <c r="Y6" s="7">
        <f>$B6 * IFERROR(VLOOKUP("electricity|PM25|Asthma symptoms cough", US_national_yearly!$D:$AM, 33, FALSE) / VLOOKUP("electricity|PM25|Asthma symptoms cough", US_national_yearly!$D:$AM, 10, FALSE), 1)</f>
        <v>5.599031161947339E-2</v>
      </c>
      <c r="Z6" s="7">
        <f>$B6 * IFERROR(VLOOKUP("electricity|PM25|Asthma symptoms cough", US_national_yearly!$D:$AM, 34, FALSE) / VLOOKUP("electricity|PM25|Asthma symptoms cough", US_national_yearly!$D:$AM, 10, FALSE), 1)</f>
        <v>5.599031161947339E-2</v>
      </c>
      <c r="AA6" s="7">
        <f>$B6 * IFERROR(VLOOKUP("electricity|PM25|Asthma symptoms cough", US_national_yearly!$D:$AM, 35, FALSE) / VLOOKUP("electricity|PM25|Asthma symptoms cough", US_national_yearly!$D:$AM, 10, FALSE), 1)</f>
        <v>5.599031161947339E-2</v>
      </c>
      <c r="AB6" s="7">
        <f>$B6 * IFERROR(VLOOKUP("electricity|PM25|Asthma symptoms cough", US_national_yearly!$D:$AM, 36, FALSE) / VLOOKUP("electricity|PM25|Asthma symptoms cough", US_national_yearly!$D:$AM, 10, FALSE), 1)</f>
        <v>5.599031161947339E-2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7.539788865460513E-2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7.539788865460513E-2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7.539788865460513E-2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7.539788865460513E-2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7.539788865460513E-2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7.539788865460513E-2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7.539788865460513E-2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7.539788865460513E-2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7.539788865460513E-2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7.539788865460513E-2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7.539788865460513E-2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7.539788865460513E-2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7.539788865460513E-2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7.539788865460513E-2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7.539788865460513E-2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7.539788865460513E-2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7.539788865460513E-2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7.539788865460513E-2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7.539788865460513E-2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7.539788865460513E-2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7.539788865460513E-2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7.539788865460513E-2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7.539788865460513E-2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7.539788865460513E-2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7.539788865460513E-2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7.539788865460513E-2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7.539788865460513E-2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0.11519944087110967</v>
      </c>
      <c r="C8" s="7">
        <f>$B8 * IFERROR(VLOOKUP("electricity|PM25|Asthma symptoms wheeze", US_national_yearly!$D:$AM, 11, FALSE) / VLOOKUP("electricity|PM25|Asthma symptoms wheeze", US_national_yearly!$D:$AM, 10, FALSE), 1)</f>
        <v>0.11519944087110967</v>
      </c>
      <c r="D8" s="7">
        <f>$B8 * IFERROR(VLOOKUP("electricity|PM25|Asthma symptoms wheeze", US_national_yearly!$D:$AM, 12, FALSE) / VLOOKUP("electricity|PM25|Asthma symptoms wheeze", US_national_yearly!$D:$AM, 10, FALSE), 1)</f>
        <v>0.11519944087110967</v>
      </c>
      <c r="E8" s="7">
        <f>$B8 * IFERROR(VLOOKUP("electricity|PM25|Asthma symptoms wheeze", US_national_yearly!$D:$AM, 13, FALSE) / VLOOKUP("electricity|PM25|Asthma symptoms wheeze", US_national_yearly!$D:$AM, 10, FALSE), 1)</f>
        <v>0.11519944087110967</v>
      </c>
      <c r="F8" s="7">
        <f>$B8 * IFERROR(VLOOKUP("electricity|PM25|Asthma symptoms wheeze", US_national_yearly!$D:$AM, 14, FALSE) / VLOOKUP("electricity|PM25|Asthma symptoms wheeze", US_national_yearly!$D:$AM, 10, FALSE), 1)</f>
        <v>0.11519944087110967</v>
      </c>
      <c r="G8" s="7">
        <f>$B8 * IFERROR(VLOOKUP("electricity|PM25|Asthma symptoms wheeze", US_national_yearly!$D:$AM, 15, FALSE) / VLOOKUP("electricity|PM25|Asthma symptoms wheeze", US_national_yearly!$D:$AM, 10, FALSE), 1)</f>
        <v>0.11519944087110967</v>
      </c>
      <c r="H8" s="7">
        <f>$B8 * IFERROR(VLOOKUP("electricity|PM25|Asthma symptoms wheeze", US_national_yearly!$D:$AM, 16, FALSE) / VLOOKUP("electricity|PM25|Asthma symptoms wheeze", US_national_yearly!$D:$AM, 10, FALSE), 1)</f>
        <v>0.11519944087110967</v>
      </c>
      <c r="I8" s="7">
        <f>$B8 * IFERROR(VLOOKUP("electricity|PM25|Asthma symptoms wheeze", US_national_yearly!$D:$AM, 17, FALSE) / VLOOKUP("electricity|PM25|Asthma symptoms wheeze", US_national_yearly!$D:$AM, 10, FALSE), 1)</f>
        <v>0.11519944087110967</v>
      </c>
      <c r="J8" s="7">
        <f>$B8 * IFERROR(VLOOKUP("electricity|PM25|Asthma symptoms wheeze", US_national_yearly!$D:$AM, 18, FALSE) / VLOOKUP("electricity|PM25|Asthma symptoms wheeze", US_national_yearly!$D:$AM, 10, FALSE), 1)</f>
        <v>0.11519944087110967</v>
      </c>
      <c r="K8" s="7">
        <f>$B8 * IFERROR(VLOOKUP("electricity|PM25|Asthma symptoms wheeze", US_national_yearly!$D:$AM, 19, FALSE) / VLOOKUP("electricity|PM25|Asthma symptoms wheeze", US_national_yearly!$D:$AM, 10, FALSE), 1)</f>
        <v>0.11519944087110967</v>
      </c>
      <c r="L8" s="7">
        <f>$B8 * IFERROR(VLOOKUP("electricity|PM25|Asthma symptoms wheeze", US_national_yearly!$D:$AM, 20, FALSE) / VLOOKUP("electricity|PM25|Asthma symptoms wheeze", US_national_yearly!$D:$AM, 10, FALSE), 1)</f>
        <v>0.11519944087110967</v>
      </c>
      <c r="M8" s="7">
        <f>$B8 * IFERROR(VLOOKUP("electricity|PM25|Asthma symptoms wheeze", US_national_yearly!$D:$AM, 21, FALSE) / VLOOKUP("electricity|PM25|Asthma symptoms wheeze", US_national_yearly!$D:$AM, 10, FALSE), 1)</f>
        <v>0.11519944087110967</v>
      </c>
      <c r="N8" s="7">
        <f>$B8 * IFERROR(VLOOKUP("electricity|PM25|Asthma symptoms wheeze", US_national_yearly!$D:$AM, 22, FALSE) / VLOOKUP("electricity|PM25|Asthma symptoms wheeze", US_national_yearly!$D:$AM, 10, FALSE), 1)</f>
        <v>0.11519944087110967</v>
      </c>
      <c r="O8" s="7">
        <f>$B8 * IFERROR(VLOOKUP("electricity|PM25|Asthma symptoms wheeze", US_national_yearly!$D:$AM, 23, FALSE) / VLOOKUP("electricity|PM25|Asthma symptoms wheeze", US_national_yearly!$D:$AM, 10, FALSE), 1)</f>
        <v>0.11519944087110967</v>
      </c>
      <c r="P8" s="7">
        <f>$B8 * IFERROR(VLOOKUP("electricity|PM25|Asthma symptoms wheeze", US_national_yearly!$D:$AM, 24, FALSE) / VLOOKUP("electricity|PM25|Asthma symptoms wheeze", US_national_yearly!$D:$AM, 10, FALSE), 1)</f>
        <v>0.11519944087110967</v>
      </c>
      <c r="Q8" s="7">
        <f>$B8 * IFERROR(VLOOKUP("electricity|PM25|Asthma symptoms wheeze", US_national_yearly!$D:$AM, 25, FALSE) / VLOOKUP("electricity|PM25|Asthma symptoms wheeze", US_national_yearly!$D:$AM, 10, FALSE), 1)</f>
        <v>0.11519944087110967</v>
      </c>
      <c r="R8" s="7">
        <f>$B8 * IFERROR(VLOOKUP("electricity|PM25|Asthma symptoms wheeze", US_national_yearly!$D:$AM, 26, FALSE) / VLOOKUP("electricity|PM25|Asthma symptoms wheeze", US_national_yearly!$D:$AM, 10, FALSE), 1)</f>
        <v>0.11519944087110967</v>
      </c>
      <c r="S8" s="7">
        <f>$B8 * IFERROR(VLOOKUP("electricity|PM25|Asthma symptoms wheeze", US_national_yearly!$D:$AM, 27, FALSE) / VLOOKUP("electricity|PM25|Asthma symptoms wheeze", US_national_yearly!$D:$AM, 10, FALSE), 1)</f>
        <v>0.11519944087110967</v>
      </c>
      <c r="T8" s="7">
        <f>$B8 * IFERROR(VLOOKUP("electricity|PM25|Asthma symptoms wheeze", US_national_yearly!$D:$AM, 28, FALSE) / VLOOKUP("electricity|PM25|Asthma symptoms wheeze", US_national_yearly!$D:$AM, 10, FALSE), 1)</f>
        <v>0.11519944087110967</v>
      </c>
      <c r="U8" s="7">
        <f>$B8 * IFERROR(VLOOKUP("electricity|PM25|Asthma symptoms wheeze", US_national_yearly!$D:$AM, 29, FALSE) / VLOOKUP("electricity|PM25|Asthma symptoms wheeze", US_national_yearly!$D:$AM, 10, FALSE), 1)</f>
        <v>0.11519944087110967</v>
      </c>
      <c r="V8" s="7">
        <f>$B8 * IFERROR(VLOOKUP("electricity|PM25|Asthma symptoms wheeze", US_national_yearly!$D:$AM, 30, FALSE) / VLOOKUP("electricity|PM25|Asthma symptoms wheeze", US_national_yearly!$D:$AM, 10, FALSE), 1)</f>
        <v>0.11519944087110967</v>
      </c>
      <c r="W8" s="7">
        <f>$B8 * IFERROR(VLOOKUP("electricity|PM25|Asthma symptoms wheeze", US_national_yearly!$D:$AM, 31, FALSE) / VLOOKUP("electricity|PM25|Asthma symptoms wheeze", US_national_yearly!$D:$AM, 10, FALSE), 1)</f>
        <v>0.11519944087110967</v>
      </c>
      <c r="X8" s="7">
        <f>$B8 * IFERROR(VLOOKUP("electricity|PM25|Asthma symptoms wheeze", US_national_yearly!$D:$AM, 32, FALSE) / VLOOKUP("electricity|PM25|Asthma symptoms wheeze", US_national_yearly!$D:$AM, 10, FALSE), 1)</f>
        <v>0.11519944087110967</v>
      </c>
      <c r="Y8" s="7">
        <f>$B8 * IFERROR(VLOOKUP("electricity|PM25|Asthma symptoms wheeze", US_national_yearly!$D:$AM, 33, FALSE) / VLOOKUP("electricity|PM25|Asthma symptoms wheeze", US_national_yearly!$D:$AM, 10, FALSE), 1)</f>
        <v>0.11519944087110967</v>
      </c>
      <c r="Z8" s="7">
        <f>$B8 * IFERROR(VLOOKUP("electricity|PM25|Asthma symptoms wheeze", US_national_yearly!$D:$AM, 34, FALSE) / VLOOKUP("electricity|PM25|Asthma symptoms wheeze", US_national_yearly!$D:$AM, 10, FALSE), 1)</f>
        <v>0.11519944087110967</v>
      </c>
      <c r="AA8" s="7">
        <f>$B8 * IFERROR(VLOOKUP("electricity|PM25|Asthma symptoms wheeze", US_national_yearly!$D:$AM, 35, FALSE) / VLOOKUP("electricity|PM25|Asthma symptoms wheeze", US_national_yearly!$D:$AM, 10, FALSE), 1)</f>
        <v>0.11519944087110967</v>
      </c>
      <c r="AB8" s="7">
        <f>$B8 * IFERROR(VLOOKUP("electricity|PM25|Asthma symptoms wheeze", US_national_yearly!$D:$AM, 36, FALSE) / VLOOKUP("electricity|PM25|Asthma symptoms wheeze", US_national_yearly!$D:$AM, 10, FALSE), 1)</f>
        <v>0.11519944087110967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2.8266838740017824E-3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2.8422189844484287E-3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2.8577540948950745E-3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2.8732892053417217E-3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2.8888243157883671E-3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2.905477572322969E-3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2.9221308288575709E-3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2.9370088122925228E-3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2.9518867957274738E-3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2.9667647791624249E-3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2.9816427625973759E-3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2.9965207460323278E-3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3.0065564741664232E-3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3.0165922023005194E-3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3.0266279304346157E-3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3.0366636585687111E-3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3.0466993867028073E-3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3.0560512818086924E-3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3.0654031769145758E-3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3.0747550720204601E-3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3.0841069671263444E-3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3.0934588622322278E-3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3.1027061055591198E-3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3.111953348886011E-3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3.1212005922129026E-3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3.1304478355397938E-3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3.1396950788666858E-3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1.5382448046271258E-2</v>
      </c>
      <c r="C13" s="7">
        <f>$B13 * IFERROR(VLOOKUP("electricity|PM25|Non-fatal heart attacks", US_national_yearly!$D:$AM, 11, FALSE) / VLOOKUP("electricity|PM25|Non-fatal heart attacks", US_national_yearly!$D:$AM, 10, FALSE), 1)</f>
        <v>1.5827997913124361E-2</v>
      </c>
      <c r="D13" s="7">
        <f>$B13 * IFERROR(VLOOKUP("electricity|PM25|Non-fatal heart attacks", US_national_yearly!$D:$AM, 12, FALSE) / VLOOKUP("electricity|PM25|Non-fatal heart attacks", US_national_yearly!$D:$AM, 10, FALSE), 1)</f>
        <v>1.6273547779977464E-2</v>
      </c>
      <c r="E13" s="7">
        <f>$B13 * IFERROR(VLOOKUP("electricity|PM25|Non-fatal heart attacks", US_national_yearly!$D:$AM, 13, FALSE) / VLOOKUP("electricity|PM25|Non-fatal heart attacks", US_national_yearly!$D:$AM, 10, FALSE), 1)</f>
        <v>1.6719097646830564E-2</v>
      </c>
      <c r="F13" s="7">
        <f>$B13 * IFERROR(VLOOKUP("electricity|PM25|Non-fatal heart attacks", US_national_yearly!$D:$AM, 14, FALSE) / VLOOKUP("electricity|PM25|Non-fatal heart attacks", US_national_yearly!$D:$AM, 10, FALSE), 1)</f>
        <v>1.7164647513683667E-2</v>
      </c>
      <c r="G13" s="7">
        <f>$B13 * IFERROR(VLOOKUP("electricity|PM25|Non-fatal heart attacks", US_national_yearly!$D:$AM, 15, FALSE) / VLOOKUP("electricity|PM25|Non-fatal heart attacks", US_national_yearly!$D:$AM, 10, FALSE), 1)</f>
        <v>1.7587548742295223E-2</v>
      </c>
      <c r="H13" s="7">
        <f>$B13 * IFERROR(VLOOKUP("electricity|PM25|Non-fatal heart attacks", US_national_yearly!$D:$AM, 16, FALSE) / VLOOKUP("electricity|PM25|Non-fatal heart attacks", US_national_yearly!$D:$AM, 10, FALSE), 1)</f>
        <v>1.8010449970906776E-2</v>
      </c>
      <c r="I13" s="7">
        <f>$B13 * IFERROR(VLOOKUP("electricity|PM25|Non-fatal heart attacks", US_national_yearly!$D:$AM, 17, FALSE) / VLOOKUP("electricity|PM25|Non-fatal heart attacks", US_national_yearly!$D:$AM, 10, FALSE), 1)</f>
        <v>1.8355487447599322E-2</v>
      </c>
      <c r="J13" s="7">
        <f>$B13 * IFERROR(VLOOKUP("electricity|PM25|Non-fatal heart attacks", US_national_yearly!$D:$AM, 18, FALSE) / VLOOKUP("electricity|PM25|Non-fatal heart attacks", US_national_yearly!$D:$AM, 10, FALSE), 1)</f>
        <v>1.8700524924291868E-2</v>
      </c>
      <c r="K13" s="7">
        <f>$B13 * IFERROR(VLOOKUP("electricity|PM25|Non-fatal heart attacks", US_national_yearly!$D:$AM, 19, FALSE) / VLOOKUP("electricity|PM25|Non-fatal heart attacks", US_national_yearly!$D:$AM, 10, FALSE), 1)</f>
        <v>1.9045562400984411E-2</v>
      </c>
      <c r="L13" s="7">
        <f>$B13 * IFERROR(VLOOKUP("electricity|PM25|Non-fatal heart attacks", US_national_yearly!$D:$AM, 20, FALSE) / VLOOKUP("electricity|PM25|Non-fatal heart attacks", US_national_yearly!$D:$AM, 10, FALSE), 1)</f>
        <v>1.939059987767695E-2</v>
      </c>
      <c r="M13" s="7">
        <f>$B13 * IFERROR(VLOOKUP("electricity|PM25|Non-fatal heart attacks", US_national_yearly!$D:$AM, 21, FALSE) / VLOOKUP("electricity|PM25|Non-fatal heart attacks", US_national_yearly!$D:$AM, 10, FALSE), 1)</f>
        <v>1.9735637354369499E-2</v>
      </c>
      <c r="N13" s="7">
        <f>$B13 * IFERROR(VLOOKUP("electricity|PM25|Non-fatal heart attacks", US_national_yearly!$D:$AM, 22, FALSE) / VLOOKUP("electricity|PM25|Non-fatal heart attacks", US_national_yearly!$D:$AM, 10, FALSE), 1)</f>
        <v>1.9959522134877321E-2</v>
      </c>
      <c r="O13" s="7">
        <f>$B13 * IFERROR(VLOOKUP("electricity|PM25|Non-fatal heart attacks", US_national_yearly!$D:$AM, 23, FALSE) / VLOOKUP("electricity|PM25|Non-fatal heart attacks", US_national_yearly!$D:$AM, 10, FALSE), 1)</f>
        <v>2.0183406915385144E-2</v>
      </c>
      <c r="P13" s="7">
        <f>$B13 * IFERROR(VLOOKUP("electricity|PM25|Non-fatal heart attacks", US_national_yearly!$D:$AM, 24, FALSE) / VLOOKUP("electricity|PM25|Non-fatal heart attacks", US_national_yearly!$D:$AM, 10, FALSE), 1)</f>
        <v>2.0407291695892962E-2</v>
      </c>
      <c r="Q13" s="7">
        <f>$B13 * IFERROR(VLOOKUP("electricity|PM25|Non-fatal heart attacks", US_national_yearly!$D:$AM, 25, FALSE) / VLOOKUP("electricity|PM25|Non-fatal heart attacks", US_national_yearly!$D:$AM, 10, FALSE), 1)</f>
        <v>2.0631176476400781E-2</v>
      </c>
      <c r="R13" s="7">
        <f>$B13 * IFERROR(VLOOKUP("electricity|PM25|Non-fatal heart attacks", US_national_yearly!$D:$AM, 26, FALSE) / VLOOKUP("electricity|PM25|Non-fatal heart attacks", US_national_yearly!$D:$AM, 10, FALSE), 1)</f>
        <v>2.0855061256908603E-2</v>
      </c>
      <c r="S13" s="7">
        <f>$B13 * IFERROR(VLOOKUP("electricity|PM25|Non-fatal heart attacks", US_national_yearly!$D:$AM, 27, FALSE) / VLOOKUP("electricity|PM25|Non-fatal heart attacks", US_national_yearly!$D:$AM, 10, FALSE), 1)</f>
        <v>2.0978315580223134E-2</v>
      </c>
      <c r="T13" s="7">
        <f>$B13 * IFERROR(VLOOKUP("electricity|PM25|Non-fatal heart attacks", US_national_yearly!$D:$AM, 28, FALSE) / VLOOKUP("electricity|PM25|Non-fatal heart attacks", US_national_yearly!$D:$AM, 10, FALSE), 1)</f>
        <v>2.1101569903537665E-2</v>
      </c>
      <c r="U13" s="7">
        <f>$B13 * IFERROR(VLOOKUP("electricity|PM25|Non-fatal heart attacks", US_national_yearly!$D:$AM, 29, FALSE) / VLOOKUP("electricity|PM25|Non-fatal heart attacks", US_national_yearly!$D:$AM, 10, FALSE), 1)</f>
        <v>2.1224824226852193E-2</v>
      </c>
      <c r="V13" s="7">
        <f>$B13 * IFERROR(VLOOKUP("electricity|PM25|Non-fatal heart attacks", US_national_yearly!$D:$AM, 30, FALSE) / VLOOKUP("electricity|PM25|Non-fatal heart attacks", US_national_yearly!$D:$AM, 10, FALSE), 1)</f>
        <v>2.1348078550166724E-2</v>
      </c>
      <c r="W13" s="7">
        <f>$B13 * IFERROR(VLOOKUP("electricity|PM25|Non-fatal heart attacks", US_national_yearly!$D:$AM, 31, FALSE) / VLOOKUP("electricity|PM25|Non-fatal heart attacks", US_national_yearly!$D:$AM, 10, FALSE), 1)</f>
        <v>2.1471332873481255E-2</v>
      </c>
      <c r="X13" s="7">
        <f>$B13 * IFERROR(VLOOKUP("electricity|PM25|Non-fatal heart attacks", US_national_yearly!$D:$AM, 32, FALSE) / VLOOKUP("electricity|PM25|Non-fatal heart attacks", US_national_yearly!$D:$AM, 10, FALSE), 1)</f>
        <v>2.1567756676250743E-2</v>
      </c>
      <c r="Y13" s="7">
        <f>$B13 * IFERROR(VLOOKUP("electricity|PM25|Non-fatal heart attacks", US_national_yearly!$D:$AM, 33, FALSE) / VLOOKUP("electricity|PM25|Non-fatal heart attacks", US_national_yearly!$D:$AM, 10, FALSE), 1)</f>
        <v>2.1664180479020231E-2</v>
      </c>
      <c r="Z13" s="7">
        <f>$B13 * IFERROR(VLOOKUP("electricity|PM25|Non-fatal heart attacks", US_national_yearly!$D:$AM, 34, FALSE) / VLOOKUP("electricity|PM25|Non-fatal heart attacks", US_national_yearly!$D:$AM, 10, FALSE), 1)</f>
        <v>2.1760604281789716E-2</v>
      </c>
      <c r="AA13" s="7">
        <f>$B13 * IFERROR(VLOOKUP("electricity|PM25|Non-fatal heart attacks", US_national_yearly!$D:$AM, 35, FALSE) / VLOOKUP("electricity|PM25|Non-fatal heart attacks", US_national_yearly!$D:$AM, 10, FALSE), 1)</f>
        <v>2.1857028084559211E-2</v>
      </c>
      <c r="AB13" s="7">
        <f>$B13 * IFERROR(VLOOKUP("electricity|PM25|Non-fatal heart attacks", US_national_yearly!$D:$AM, 36, FALSE) / VLOOKUP("electricity|PM25|Non-fatal heart attacks", US_national_yearly!$D:$AM, 10, FALSE), 1)</f>
        <v>2.1953451887328695E-2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7.8824056435388394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7.8999040542310812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7.9174024649233248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7.9349008756155666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7.9523992863078101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7.9783649001669517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8.0043305140260941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8.0501787175881301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8.0960269211501679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8.1418751247122039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8.1877233282742417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8.2335715318362777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8.2971762129785755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8.3607808941208752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8.4243855752631767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8.4879902564054763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8.5515949375477742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8.6157482413163233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8.6799015450848707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8.7440548488534198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8.8082081526219689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8.8723614563905162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8.9273542284403398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8.9823470004901651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9.0373397725399904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9.0923325445898122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9.1473253166396393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1.329809295740259</v>
      </c>
      <c r="C15" s="7">
        <f>$B15 * IFERROR(VLOOKUP("electricity|PM25|Work loss days", US_national_yearly!$D:$AM, 11, FALSE) / VLOOKUP("electricity|PM25|Work loss days", US_national_yearly!$D:$AM, 10, FALSE), 1)</f>
        <v>1.3336146219094844</v>
      </c>
      <c r="D15" s="7">
        <f>$B15 * IFERROR(VLOOKUP("electricity|PM25|Work loss days", US_national_yearly!$D:$AM, 12, FALSE) / VLOOKUP("electricity|PM25|Work loss days", US_national_yearly!$D:$AM, 10, FALSE), 1)</f>
        <v>1.3374199480787103</v>
      </c>
      <c r="E15" s="7">
        <f>$B15 * IFERROR(VLOOKUP("electricity|PM25|Work loss days", US_national_yearly!$D:$AM, 13, FALSE) / VLOOKUP("electricity|PM25|Work loss days", US_national_yearly!$D:$AM, 10, FALSE), 1)</f>
        <v>1.3412252742479358</v>
      </c>
      <c r="F15" s="7">
        <f>$B15 * IFERROR(VLOOKUP("electricity|PM25|Work loss days", US_national_yearly!$D:$AM, 14, FALSE) / VLOOKUP("electricity|PM25|Work loss days", US_national_yearly!$D:$AM, 10, FALSE), 1)</f>
        <v>1.3450306004171615</v>
      </c>
      <c r="G15" s="7">
        <f>$B15 * IFERROR(VLOOKUP("electricity|PM25|Work loss days", US_national_yearly!$D:$AM, 15, FALSE) / VLOOKUP("electricity|PM25|Work loss days", US_national_yearly!$D:$AM, 10, FALSE), 1)</f>
        <v>1.3499602051235602</v>
      </c>
      <c r="H15" s="7">
        <f>$B15 * IFERROR(VLOOKUP("electricity|PM25|Work loss days", US_national_yearly!$D:$AM, 16, FALSE) / VLOOKUP("electricity|PM25|Work loss days", US_national_yearly!$D:$AM, 10, FALSE), 1)</f>
        <v>1.3548898098299593</v>
      </c>
      <c r="I15" s="7">
        <f>$B15 * IFERROR(VLOOKUP("electricity|PM25|Work loss days", US_national_yearly!$D:$AM, 17, FALSE) / VLOOKUP("electricity|PM25|Work loss days", US_national_yearly!$D:$AM, 10, FALSE), 1)</f>
        <v>1.3623006287310542</v>
      </c>
      <c r="J15" s="7">
        <f>$B15 * IFERROR(VLOOKUP("electricity|PM25|Work loss days", US_national_yearly!$D:$AM, 18, FALSE) / VLOOKUP("electricity|PM25|Work loss days", US_national_yearly!$D:$AM, 10, FALSE), 1)</f>
        <v>1.3697114476321488</v>
      </c>
      <c r="K15" s="7">
        <f>$B15 * IFERROR(VLOOKUP("electricity|PM25|Work loss days", US_national_yearly!$D:$AM, 19, FALSE) / VLOOKUP("electricity|PM25|Work loss days", US_national_yearly!$D:$AM, 10, FALSE), 1)</f>
        <v>1.3771222665332437</v>
      </c>
      <c r="L15" s="7">
        <f>$B15 * IFERROR(VLOOKUP("electricity|PM25|Work loss days", US_national_yearly!$D:$AM, 20, FALSE) / VLOOKUP("electricity|PM25|Work loss days", US_national_yearly!$D:$AM, 10, FALSE), 1)</f>
        <v>1.3845330854343383</v>
      </c>
      <c r="M15" s="7">
        <f>$B15 * IFERROR(VLOOKUP("electricity|PM25|Work loss days", US_national_yearly!$D:$AM, 21, FALSE) / VLOOKUP("electricity|PM25|Work loss days", US_national_yearly!$D:$AM, 10, FALSE), 1)</f>
        <v>1.3919439043354331</v>
      </c>
      <c r="N15" s="7">
        <f>$B15 * IFERROR(VLOOKUP("electricity|PM25|Work loss days", US_national_yearly!$D:$AM, 22, FALSE) / VLOOKUP("electricity|PM25|Work loss days", US_national_yearly!$D:$AM, 10, FALSE), 1)</f>
        <v>1.4015117860141422</v>
      </c>
      <c r="O15" s="7">
        <f>$B15 * IFERROR(VLOOKUP("electricity|PM25|Work loss days", US_national_yearly!$D:$AM, 23, FALSE) / VLOOKUP("electricity|PM25|Work loss days", US_national_yearly!$D:$AM, 10, FALSE), 1)</f>
        <v>1.4110796676928512</v>
      </c>
      <c r="P15" s="7">
        <f>$B15 * IFERROR(VLOOKUP("electricity|PM25|Work loss days", US_national_yearly!$D:$AM, 24, FALSE) / VLOOKUP("electricity|PM25|Work loss days", US_national_yearly!$D:$AM, 10, FALSE), 1)</f>
        <v>1.4206475493715598</v>
      </c>
      <c r="Q15" s="7">
        <f>$B15 * IFERROR(VLOOKUP("electricity|PM25|Work loss days", US_national_yearly!$D:$AM, 25, FALSE) / VLOOKUP("electricity|PM25|Work loss days", US_national_yearly!$D:$AM, 10, FALSE), 1)</f>
        <v>1.4302154310502686</v>
      </c>
      <c r="R15" s="7">
        <f>$B15 * IFERROR(VLOOKUP("electricity|PM25|Work loss days", US_national_yearly!$D:$AM, 26, FALSE) / VLOOKUP("electricity|PM25|Work loss days", US_national_yearly!$D:$AM, 10, FALSE), 1)</f>
        <v>1.4397833127289776</v>
      </c>
      <c r="S15" s="7">
        <f>$B15 * IFERROR(VLOOKUP("electricity|PM25|Work loss days", US_national_yearly!$D:$AM, 27, FALSE) / VLOOKUP("electricity|PM25|Work loss days", US_national_yearly!$D:$AM, 10, FALSE), 1)</f>
        <v>1.4504002828293836</v>
      </c>
      <c r="T15" s="7">
        <f>$B15 * IFERROR(VLOOKUP("electricity|PM25|Work loss days", US_national_yearly!$D:$AM, 28, FALSE) / VLOOKUP("electricity|PM25|Work loss days", US_national_yearly!$D:$AM, 10, FALSE), 1)</f>
        <v>1.4610172529297898</v>
      </c>
      <c r="U15" s="7">
        <f>$B15 * IFERROR(VLOOKUP("electricity|PM25|Work loss days", US_national_yearly!$D:$AM, 29, FALSE) / VLOOKUP("electricity|PM25|Work loss days", US_national_yearly!$D:$AM, 10, FALSE), 1)</f>
        <v>1.4716342230301962</v>
      </c>
      <c r="V15" s="7">
        <f>$B15 * IFERROR(VLOOKUP("electricity|PM25|Work loss days", US_national_yearly!$D:$AM, 30, FALSE) / VLOOKUP("electricity|PM25|Work loss days", US_national_yearly!$D:$AM, 10, FALSE), 1)</f>
        <v>1.4822511931306026</v>
      </c>
      <c r="W15" s="7">
        <f>$B15 * IFERROR(VLOOKUP("electricity|PM25|Work loss days", US_national_yearly!$D:$AM, 31, FALSE) / VLOOKUP("electricity|PM25|Work loss days", US_national_yearly!$D:$AM, 10, FALSE), 1)</f>
        <v>1.4928681632310086</v>
      </c>
      <c r="X15" s="7">
        <f>$B15 * IFERROR(VLOOKUP("electricity|PM25|Work loss days", US_national_yearly!$D:$AM, 32, FALSE) / VLOOKUP("electricity|PM25|Work loss days", US_national_yearly!$D:$AM, 10, FALSE), 1)</f>
        <v>1.5022340729501893</v>
      </c>
      <c r="Y15" s="7">
        <f>$B15 * IFERROR(VLOOKUP("electricity|PM25|Work loss days", US_national_yearly!$D:$AM, 33, FALSE) / VLOOKUP("electricity|PM25|Work loss days", US_national_yearly!$D:$AM, 10, FALSE), 1)</f>
        <v>1.5115999826693696</v>
      </c>
      <c r="Z15" s="7">
        <f>$B15 * IFERROR(VLOOKUP("electricity|PM25|Work loss days", US_national_yearly!$D:$AM, 34, FALSE) / VLOOKUP("electricity|PM25|Work loss days", US_national_yearly!$D:$AM, 10, FALSE), 1)</f>
        <v>1.5209658923885501</v>
      </c>
      <c r="AA15" s="7">
        <f>$B15 * IFERROR(VLOOKUP("electricity|PM25|Work loss days", US_national_yearly!$D:$AM, 35, FALSE) / VLOOKUP("electricity|PM25|Work loss days", US_national_yearly!$D:$AM, 10, FALSE), 1)</f>
        <v>1.530331802107731</v>
      </c>
      <c r="AB15" s="7">
        <f>$B15 * IFERROR(VLOOKUP("electricity|PM25|Work loss days", US_national_yearly!$D:$AM, 36, FALSE) / VLOOKUP("electricity|PM25|Work loss days", US_national_yearly!$D:$AM, 10, FALSE), 1)</f>
        <v>1.5396977118269115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4.0205277561856786E-3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4.1398365521496706E-3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4.2591453481136627E-3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4.3784541440776547E-3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4.4977629400416459E-3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4.6128360886541842E-3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4.7279092372667217E-3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4.8275947441405341E-3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4.9272802510143465E-3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5.026965757888158E-3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5.1266512647619705E-3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5.226336771635782E-3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5.2933476542172909E-3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5.360358536798799E-3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5.427369419380307E-3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5.4943803019618159E-3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5.5613911845433239E-3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5.5983745800873433E-3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5.635357975631361E-3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5.6723413711753804E-3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5.7093247667193989E-3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5.7463081622634183E-3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5.7721097818460047E-3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5.7979114014285911E-3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5.8237130210111775E-3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5.8495146405937656E-3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5.875316260176352E-3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7.4392825747526044E-4</v>
      </c>
      <c r="C2" s="7">
        <f>$B2 * IFERROR(VLOOKUP("electricity|NOx|Premature mortality", US_national_yearly!$D:$AM, 11, FALSE) / VLOOKUP("electricity|NOx|Premature mortality", US_national_yearly!$D:$AM, 10, FALSE), 1)</f>
        <v>7.5518436344377865E-4</v>
      </c>
      <c r="D2" s="7">
        <f>$B2 * IFERROR(VLOOKUP("electricity|NOx|Premature mortality", US_national_yearly!$D:$AM, 12, FALSE) / VLOOKUP("electricity|NOx|Premature mortality", US_national_yearly!$D:$AM, 10, FALSE), 1)</f>
        <v>7.6644046941229697E-4</v>
      </c>
      <c r="E2" s="7">
        <f>$B2 * IFERROR(VLOOKUP("electricity|NOx|Premature mortality", US_national_yearly!$D:$AM, 13, FALSE) / VLOOKUP("electricity|NOx|Premature mortality", US_national_yearly!$D:$AM, 10, FALSE), 1)</f>
        <v>7.7769657538081507E-4</v>
      </c>
      <c r="F2" s="7">
        <f>$B2 * IFERROR(VLOOKUP("electricity|NOx|Premature mortality", US_national_yearly!$D:$AM, 14, FALSE) / VLOOKUP("electricity|NOx|Premature mortality", US_national_yearly!$D:$AM, 10, FALSE), 1)</f>
        <v>7.8895268134933328E-4</v>
      </c>
      <c r="G2" s="7">
        <f>$B2 * IFERROR(VLOOKUP("electricity|NOx|Premature mortality", US_national_yearly!$D:$AM, 15, FALSE) / VLOOKUP("electricity|NOx|Premature mortality", US_national_yearly!$D:$AM, 10, FALSE), 1)</f>
        <v>8.0906023213654123E-4</v>
      </c>
      <c r="H2" s="7">
        <f>$B2 * IFERROR(VLOOKUP("electricity|NOx|Premature mortality", US_national_yearly!$D:$AM, 16, FALSE) / VLOOKUP("electricity|NOx|Premature mortality", US_national_yearly!$D:$AM, 10, FALSE), 1)</f>
        <v>8.2916778292374906E-4</v>
      </c>
      <c r="I2" s="7">
        <f>$B2 * IFERROR(VLOOKUP("electricity|NOx|Premature mortality", US_national_yearly!$D:$AM, 17, FALSE) / VLOOKUP("electricity|NOx|Premature mortality", US_national_yearly!$D:$AM, 10, FALSE), 1)</f>
        <v>8.4253007633552457E-4</v>
      </c>
      <c r="J2" s="7">
        <f>$B2 * IFERROR(VLOOKUP("electricity|NOx|Premature mortality", US_national_yearly!$D:$AM, 18, FALSE) / VLOOKUP("electricity|NOx|Premature mortality", US_national_yearly!$D:$AM, 10, FALSE), 1)</f>
        <v>8.5589236974730008E-4</v>
      </c>
      <c r="K2" s="7">
        <f>$B2 * IFERROR(VLOOKUP("electricity|NOx|Premature mortality", US_national_yearly!$D:$AM, 19, FALSE) / VLOOKUP("electricity|NOx|Premature mortality", US_national_yearly!$D:$AM, 10, FALSE), 1)</f>
        <v>8.6925466315907558E-4</v>
      </c>
      <c r="L2" s="7">
        <f>$B2 * IFERROR(VLOOKUP("electricity|NOx|Premature mortality", US_national_yearly!$D:$AM, 20, FALSE) / VLOOKUP("electricity|NOx|Premature mortality", US_national_yearly!$D:$AM, 10, FALSE), 1)</f>
        <v>8.8261695657085098E-4</v>
      </c>
      <c r="M2" s="7">
        <f>$B2 * IFERROR(VLOOKUP("electricity|NOx|Premature mortality", US_national_yearly!$D:$AM, 21, FALSE) / VLOOKUP("electricity|NOx|Premature mortality", US_national_yearly!$D:$AM, 10, FALSE), 1)</f>
        <v>8.9597924998262638E-4</v>
      </c>
      <c r="N2" s="7">
        <f>$B2 * IFERROR(VLOOKUP("electricity|NOx|Premature mortality", US_national_yearly!$D:$AM, 22, FALSE) / VLOOKUP("electricity|NOx|Premature mortality", US_national_yearly!$D:$AM, 10, FALSE), 1)</f>
        <v>9.0628980409621703E-4</v>
      </c>
      <c r="O2" s="7">
        <f>$B2 * IFERROR(VLOOKUP("electricity|NOx|Premature mortality", US_national_yearly!$D:$AM, 23, FALSE) / VLOOKUP("electricity|NOx|Premature mortality", US_national_yearly!$D:$AM, 10, FALSE), 1)</f>
        <v>9.1660035820980801E-4</v>
      </c>
      <c r="P2" s="7">
        <f>$B2 * IFERROR(VLOOKUP("electricity|NOx|Premature mortality", US_national_yearly!$D:$AM, 24, FALSE) / VLOOKUP("electricity|NOx|Premature mortality", US_national_yearly!$D:$AM, 10, FALSE), 1)</f>
        <v>9.2691091232339855E-4</v>
      </c>
      <c r="Q2" s="7">
        <f>$B2 * IFERROR(VLOOKUP("electricity|NOx|Premature mortality", US_national_yearly!$D:$AM, 25, FALSE) / VLOOKUP("electricity|NOx|Premature mortality", US_national_yearly!$D:$AM, 10, FALSE), 1)</f>
        <v>9.3722146643698931E-4</v>
      </c>
      <c r="R2" s="7">
        <f>$B2 * IFERROR(VLOOKUP("electricity|NOx|Premature mortality", US_national_yearly!$D:$AM, 26, FALSE) / VLOOKUP("electricity|NOx|Premature mortality", US_national_yearly!$D:$AM, 10, FALSE), 1)</f>
        <v>9.4753202055057996E-4</v>
      </c>
      <c r="S2" s="7">
        <f>$B2 * IFERROR(VLOOKUP("electricity|NOx|Premature mortality", US_national_yearly!$D:$AM, 27, FALSE) / VLOOKUP("electricity|NOx|Premature mortality", US_national_yearly!$D:$AM, 10, FALSE), 1)</f>
        <v>9.5285991557124557E-4</v>
      </c>
      <c r="T2" s="7">
        <f>$B2 * IFERROR(VLOOKUP("electricity|NOx|Premature mortality", US_national_yearly!$D:$AM, 28, FALSE) / VLOOKUP("electricity|NOx|Premature mortality", US_national_yearly!$D:$AM, 10, FALSE), 1)</f>
        <v>9.5818781059191119E-4</v>
      </c>
      <c r="U2" s="7">
        <f>$B2 * IFERROR(VLOOKUP("electricity|NOx|Premature mortality", US_national_yearly!$D:$AM, 29, FALSE) / VLOOKUP("electricity|NOx|Premature mortality", US_national_yearly!$D:$AM, 10, FALSE), 1)</f>
        <v>9.6351570561257712E-4</v>
      </c>
      <c r="V2" s="7">
        <f>$B2 * IFERROR(VLOOKUP("electricity|NOx|Premature mortality", US_national_yearly!$D:$AM, 30, FALSE) / VLOOKUP("electricity|NOx|Premature mortality", US_national_yearly!$D:$AM, 10, FALSE), 1)</f>
        <v>9.6884360063324273E-4</v>
      </c>
      <c r="W2" s="7">
        <f>$B2 * IFERROR(VLOOKUP("electricity|NOx|Premature mortality", US_national_yearly!$D:$AM, 31, FALSE) / VLOOKUP("electricity|NOx|Premature mortality", US_national_yearly!$D:$AM, 10, FALSE), 1)</f>
        <v>9.7417149565390824E-4</v>
      </c>
      <c r="X2" s="7">
        <f>$B2 * IFERROR(VLOOKUP("electricity|NOx|Premature mortality", US_national_yearly!$D:$AM, 32, FALSE) / VLOOKUP("electricity|NOx|Premature mortality", US_national_yearly!$D:$AM, 10, FALSE), 1)</f>
        <v>9.7537683102534307E-4</v>
      </c>
      <c r="Y2" s="7">
        <f>$B2 * IFERROR(VLOOKUP("electricity|NOx|Premature mortality", US_national_yearly!$D:$AM, 33, FALSE) / VLOOKUP("electricity|NOx|Premature mortality", US_national_yearly!$D:$AM, 10, FALSE), 1)</f>
        <v>9.7658216639677779E-4</v>
      </c>
      <c r="Z2" s="7">
        <f>$B2 * IFERROR(VLOOKUP("electricity|NOx|Premature mortality", US_national_yearly!$D:$AM, 34, FALSE) / VLOOKUP("electricity|NOx|Premature mortality", US_national_yearly!$D:$AM, 10, FALSE), 1)</f>
        <v>9.7778750176821263E-4</v>
      </c>
      <c r="AA2" s="7">
        <f>$B2 * IFERROR(VLOOKUP("electricity|NOx|Premature mortality", US_national_yearly!$D:$AM, 35, FALSE) / VLOOKUP("electricity|NOx|Premature mortality", US_national_yearly!$D:$AM, 10, FALSE), 1)</f>
        <v>9.7899283713964703E-4</v>
      </c>
      <c r="AB2" s="7">
        <f>$B2 * IFERROR(VLOOKUP("electricity|NOx|Premature mortality", US_national_yearly!$D:$AM, 36, FALSE) / VLOOKUP("electricity|NOx|Premature mortality", US_national_yearly!$D:$AM, 10, FALSE), 1)</f>
        <v>9.8019817251108186E-4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1.3771423407062535E-6</v>
      </c>
      <c r="C3" s="7">
        <f>$B3 * IFERROR(VLOOKUP("electricity|NOx|Infant mortality", US_national_yearly!$D:$AM, 11, FALSE) / VLOOKUP("electricity|NOx|Infant mortality", US_national_yearly!$D:$AM, 10, FALSE), 1)</f>
        <v>1.3642583872765985E-6</v>
      </c>
      <c r="D3" s="7">
        <f>$B3 * IFERROR(VLOOKUP("electricity|NOx|Infant mortality", US_national_yearly!$D:$AM, 12, FALSE) / VLOOKUP("electricity|NOx|Infant mortality", US_national_yearly!$D:$AM, 10, FALSE), 1)</f>
        <v>1.3513744338469432E-6</v>
      </c>
      <c r="E3" s="7">
        <f>$B3 * IFERROR(VLOOKUP("electricity|NOx|Infant mortality", US_national_yearly!$D:$AM, 13, FALSE) / VLOOKUP("electricity|NOx|Infant mortality", US_national_yearly!$D:$AM, 10, FALSE), 1)</f>
        <v>1.338490480417288E-6</v>
      </c>
      <c r="F3" s="7">
        <f>$B3 * IFERROR(VLOOKUP("electricity|NOx|Infant mortality", US_national_yearly!$D:$AM, 14, FALSE) / VLOOKUP("electricity|NOx|Infant mortality", US_national_yearly!$D:$AM, 10, FALSE), 1)</f>
        <v>1.3256065269876328E-6</v>
      </c>
      <c r="G3" s="7">
        <f>$B3 * IFERROR(VLOOKUP("electricity|NOx|Infant mortality", US_national_yearly!$D:$AM, 15, FALSE) / VLOOKUP("electricity|NOx|Infant mortality", US_national_yearly!$D:$AM, 10, FALSE), 1)</f>
        <v>8.7827999946823176E-7</v>
      </c>
      <c r="H3" s="7">
        <f>$B3 * IFERROR(VLOOKUP("electricity|NOx|Infant mortality", US_national_yearly!$D:$AM, 16, FALSE) / VLOOKUP("electricity|NOx|Infant mortality", US_national_yearly!$D:$AM, 10, FALSE), 1)</f>
        <v>4.3095347194883092E-7</v>
      </c>
      <c r="I3" s="7">
        <f>$B3 * IFERROR(VLOOKUP("electricity|NOx|Infant mortality", US_national_yearly!$D:$AM, 17, FALSE) / VLOOKUP("electricity|NOx|Infant mortality", US_national_yearly!$D:$AM, 10, FALSE), 1)</f>
        <v>4.2781934280276518E-7</v>
      </c>
      <c r="J3" s="7">
        <f>$B3 * IFERROR(VLOOKUP("electricity|NOx|Infant mortality", US_national_yearly!$D:$AM, 18, FALSE) / VLOOKUP("electricity|NOx|Infant mortality", US_national_yearly!$D:$AM, 10, FALSE), 1)</f>
        <v>4.2468521365669943E-7</v>
      </c>
      <c r="K3" s="7">
        <f>$B3 * IFERROR(VLOOKUP("electricity|NOx|Infant mortality", US_national_yearly!$D:$AM, 19, FALSE) / VLOOKUP("electricity|NOx|Infant mortality", US_national_yearly!$D:$AM, 10, FALSE), 1)</f>
        <v>4.2155108451063363E-7</v>
      </c>
      <c r="L3" s="7">
        <f>$B3 * IFERROR(VLOOKUP("electricity|NOx|Infant mortality", US_national_yearly!$D:$AM, 20, FALSE) / VLOOKUP("electricity|NOx|Infant mortality", US_national_yearly!$D:$AM, 10, FALSE), 1)</f>
        <v>4.1841695536456788E-7</v>
      </c>
      <c r="M3" s="7">
        <f>$B3 * IFERROR(VLOOKUP("electricity|NOx|Infant mortality", US_national_yearly!$D:$AM, 21, FALSE) / VLOOKUP("electricity|NOx|Infant mortality", US_national_yearly!$D:$AM, 10, FALSE), 1)</f>
        <v>4.1528282621850203E-7</v>
      </c>
      <c r="N3" s="7">
        <f>$B3 * IFERROR(VLOOKUP("electricity|NOx|Infant mortality", US_national_yearly!$D:$AM, 22, FALSE) / VLOOKUP("electricity|NOx|Infant mortality", US_national_yearly!$D:$AM, 10, FALSE), 1)</f>
        <v>4.1317823598318555E-7</v>
      </c>
      <c r="O3" s="7">
        <f>$B3 * IFERROR(VLOOKUP("electricity|NOx|Infant mortality", US_national_yearly!$D:$AM, 23, FALSE) / VLOOKUP("electricity|NOx|Infant mortality", US_national_yearly!$D:$AM, 10, FALSE), 1)</f>
        <v>4.1107364574786903E-7</v>
      </c>
      <c r="P3" s="7">
        <f>$B3 * IFERROR(VLOOKUP("electricity|NOx|Infant mortality", US_national_yearly!$D:$AM, 24, FALSE) / VLOOKUP("electricity|NOx|Infant mortality", US_national_yearly!$D:$AM, 10, FALSE), 1)</f>
        <v>4.089690555125525E-7</v>
      </c>
      <c r="Q3" s="7">
        <f>$B3 * IFERROR(VLOOKUP("electricity|NOx|Infant mortality", US_national_yearly!$D:$AM, 25, FALSE) / VLOOKUP("electricity|NOx|Infant mortality", US_national_yearly!$D:$AM, 10, FALSE), 1)</f>
        <v>4.0686446527723603E-7</v>
      </c>
      <c r="R3" s="7">
        <f>$B3 * IFERROR(VLOOKUP("electricity|NOx|Infant mortality", US_national_yearly!$D:$AM, 26, FALSE) / VLOOKUP("electricity|NOx|Infant mortality", US_national_yearly!$D:$AM, 10, FALSE), 1)</f>
        <v>4.0475987504191956E-7</v>
      </c>
      <c r="S3" s="7">
        <f>$B3 * IFERROR(VLOOKUP("electricity|NOx|Infant mortality", US_national_yearly!$D:$AM, 27, FALSE) / VLOOKUP("electricity|NOx|Infant mortality", US_national_yearly!$D:$AM, 10, FALSE), 1)</f>
        <v>4.0226135992984345E-7</v>
      </c>
      <c r="T3" s="7">
        <f>$B3 * IFERROR(VLOOKUP("electricity|NOx|Infant mortality", US_national_yearly!$D:$AM, 28, FALSE) / VLOOKUP("electricity|NOx|Infant mortality", US_national_yearly!$D:$AM, 10, FALSE), 1)</f>
        <v>3.9976284481776734E-7</v>
      </c>
      <c r="U3" s="7">
        <f>$B3 * IFERROR(VLOOKUP("electricity|NOx|Infant mortality", US_national_yearly!$D:$AM, 29, FALSE) / VLOOKUP("electricity|NOx|Infant mortality", US_national_yearly!$D:$AM, 10, FALSE), 1)</f>
        <v>3.9726432970569134E-7</v>
      </c>
      <c r="V3" s="7">
        <f>$B3 * IFERROR(VLOOKUP("electricity|NOx|Infant mortality", US_national_yearly!$D:$AM, 30, FALSE) / VLOOKUP("electricity|NOx|Infant mortality", US_national_yearly!$D:$AM, 10, FALSE), 1)</f>
        <v>3.9476581459361529E-7</v>
      </c>
      <c r="W3" s="7">
        <f>$B3 * IFERROR(VLOOKUP("electricity|NOx|Infant mortality", US_national_yearly!$D:$AM, 31, FALSE) / VLOOKUP("electricity|NOx|Infant mortality", US_national_yearly!$D:$AM, 10, FALSE), 1)</f>
        <v>3.9226729948153918E-7</v>
      </c>
      <c r="X3" s="7">
        <f>$B3 * IFERROR(VLOOKUP("electricity|NOx|Infant mortality", US_national_yearly!$D:$AM, 32, FALSE) / VLOOKUP("electricity|NOx|Infant mortality", US_national_yearly!$D:$AM, 10, FALSE), 1)</f>
        <v>3.8969464250228021E-7</v>
      </c>
      <c r="Y3" s="7">
        <f>$B3 * IFERROR(VLOOKUP("electricity|NOx|Infant mortality", US_national_yearly!$D:$AM, 33, FALSE) / VLOOKUP("electricity|NOx|Infant mortality", US_national_yearly!$D:$AM, 10, FALSE), 1)</f>
        <v>3.8712198552302129E-7</v>
      </c>
      <c r="Z3" s="7">
        <f>$B3 * IFERROR(VLOOKUP("electricity|NOx|Infant mortality", US_national_yearly!$D:$AM, 34, FALSE) / VLOOKUP("electricity|NOx|Infant mortality", US_national_yearly!$D:$AM, 10, FALSE), 1)</f>
        <v>3.8454932854376231E-7</v>
      </c>
      <c r="AA3" s="7">
        <f>$B3 * IFERROR(VLOOKUP("electricity|NOx|Infant mortality", US_national_yearly!$D:$AM, 35, FALSE) / VLOOKUP("electricity|NOx|Infant mortality", US_national_yearly!$D:$AM, 10, FALSE), 1)</f>
        <v>3.8197667156450334E-7</v>
      </c>
      <c r="AB3" s="7">
        <f>$B3 * IFERROR(VLOOKUP("electricity|NOx|Infant mortality", US_national_yearly!$D:$AM, 36, FALSE) / VLOOKUP("electricity|NOx|Infant mortality", US_national_yearly!$D:$AM, 10, FALSE), 1)</f>
        <v>3.7940401458524431E-7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1.4859856791153332E-3</v>
      </c>
      <c r="C6" s="7">
        <f>$B6 * IFERROR(VLOOKUP("electricity|NOx|Asthma symptoms cough", US_national_yearly!$D:$AM, 11, FALSE) / VLOOKUP("electricity|NOx|Asthma symptoms cough", US_national_yearly!$D:$AM, 10, FALSE), 1)</f>
        <v>1.5063863766935988E-3</v>
      </c>
      <c r="D6" s="7">
        <f>$B6 * IFERROR(VLOOKUP("electricity|NOx|Asthma symptoms cough", US_national_yearly!$D:$AM, 12, FALSE) / VLOOKUP("electricity|NOx|Asthma symptoms cough", US_national_yearly!$D:$AM, 10, FALSE), 1)</f>
        <v>1.5267870742718646E-3</v>
      </c>
      <c r="E6" s="7">
        <f>$B6 * IFERROR(VLOOKUP("electricity|NOx|Asthma symptoms cough", US_national_yearly!$D:$AM, 13, FALSE) / VLOOKUP("electricity|NOx|Asthma symptoms cough", US_national_yearly!$D:$AM, 10, FALSE), 1)</f>
        <v>1.54718777185013E-3</v>
      </c>
      <c r="F6" s="7">
        <f>$B6 * IFERROR(VLOOKUP("electricity|NOx|Asthma symptoms cough", US_national_yearly!$D:$AM, 14, FALSE) / VLOOKUP("electricity|NOx|Asthma symptoms cough", US_national_yearly!$D:$AM, 10, FALSE), 1)</f>
        <v>1.5675884694283956E-3</v>
      </c>
      <c r="G6" s="7">
        <f>$B6 * IFERROR(VLOOKUP("electricity|NOx|Asthma symptoms cough", US_national_yearly!$D:$AM, 15, FALSE) / VLOOKUP("electricity|NOx|Asthma symptoms cough", US_national_yearly!$D:$AM, 10, FALSE), 1)</f>
        <v>1.5841753182502202E-3</v>
      </c>
      <c r="H6" s="7">
        <f>$B6 * IFERROR(VLOOKUP("electricity|NOx|Asthma symptoms cough", US_national_yearly!$D:$AM, 16, FALSE) / VLOOKUP("electricity|NOx|Asthma symptoms cough", US_national_yearly!$D:$AM, 10, FALSE), 1)</f>
        <v>1.6007621670720447E-3</v>
      </c>
      <c r="I6" s="7">
        <f>$B6 * IFERROR(VLOOKUP("electricity|NOx|Asthma symptoms cough", US_national_yearly!$D:$AM, 17, FALSE) / VLOOKUP("electricity|NOx|Asthma symptoms cough", US_national_yearly!$D:$AM, 10, FALSE), 1)</f>
        <v>1.6069281297841779E-3</v>
      </c>
      <c r="J6" s="7">
        <f>$B6 * IFERROR(VLOOKUP("electricity|NOx|Asthma symptoms cough", US_national_yearly!$D:$AM, 18, FALSE) / VLOOKUP("electricity|NOx|Asthma symptoms cough", US_national_yearly!$D:$AM, 10, FALSE), 1)</f>
        <v>1.613094092496311E-3</v>
      </c>
      <c r="K6" s="7">
        <f>$B6 * IFERROR(VLOOKUP("electricity|NOx|Asthma symptoms cough", US_national_yearly!$D:$AM, 19, FALSE) / VLOOKUP("electricity|NOx|Asthma symptoms cough", US_national_yearly!$D:$AM, 10, FALSE), 1)</f>
        <v>1.6192600552084443E-3</v>
      </c>
      <c r="L6" s="7">
        <f>$B6 * IFERROR(VLOOKUP("electricity|NOx|Asthma symptoms cough", US_national_yearly!$D:$AM, 20, FALSE) / VLOOKUP("electricity|NOx|Asthma symptoms cough", US_national_yearly!$D:$AM, 10, FALSE), 1)</f>
        <v>1.6254260179205775E-3</v>
      </c>
      <c r="M6" s="7">
        <f>$B6 * IFERROR(VLOOKUP("electricity|NOx|Asthma symptoms cough", US_national_yearly!$D:$AM, 21, FALSE) / VLOOKUP("electricity|NOx|Asthma symptoms cough", US_national_yearly!$D:$AM, 10, FALSE), 1)</f>
        <v>1.631591980632711E-3</v>
      </c>
      <c r="N6" s="7">
        <f>$B6 * IFERROR(VLOOKUP("electricity|NOx|Asthma symptoms cough", US_national_yearly!$D:$AM, 22, FALSE) / VLOOKUP("electricity|NOx|Asthma symptoms cough", US_national_yearly!$D:$AM, 10, FALSE), 1)</f>
        <v>1.6384238159582044E-3</v>
      </c>
      <c r="O6" s="7">
        <f>$B6 * IFERROR(VLOOKUP("electricity|NOx|Asthma symptoms cough", US_national_yearly!$D:$AM, 23, FALSE) / VLOOKUP("electricity|NOx|Asthma symptoms cough", US_national_yearly!$D:$AM, 10, FALSE), 1)</f>
        <v>1.6452556512836982E-3</v>
      </c>
      <c r="P6" s="7">
        <f>$B6 * IFERROR(VLOOKUP("electricity|NOx|Asthma symptoms cough", US_national_yearly!$D:$AM, 24, FALSE) / VLOOKUP("electricity|NOx|Asthma symptoms cough", US_national_yearly!$D:$AM, 10, FALSE), 1)</f>
        <v>1.6520874866091915E-3</v>
      </c>
      <c r="Q6" s="7">
        <f>$B6 * IFERROR(VLOOKUP("electricity|NOx|Asthma symptoms cough", US_national_yearly!$D:$AM, 25, FALSE) / VLOOKUP("electricity|NOx|Asthma symptoms cough", US_national_yearly!$D:$AM, 10, FALSE), 1)</f>
        <v>1.6589193219346853E-3</v>
      </c>
      <c r="R6" s="7">
        <f>$B6 * IFERROR(VLOOKUP("electricity|NOx|Asthma symptoms cough", US_national_yearly!$D:$AM, 26, FALSE) / VLOOKUP("electricity|NOx|Asthma symptoms cough", US_national_yearly!$D:$AM, 10, FALSE), 1)</f>
        <v>1.6657511572601787E-3</v>
      </c>
      <c r="S6" s="7">
        <f>$B6 * IFERROR(VLOOKUP("electricity|NOx|Asthma symptoms cough", US_national_yearly!$D:$AM, 27, FALSE) / VLOOKUP("electricity|NOx|Asthma symptoms cough", US_national_yearly!$D:$AM, 10, FALSE), 1)</f>
        <v>1.6742745009580972E-3</v>
      </c>
      <c r="T6" s="7">
        <f>$B6 * IFERROR(VLOOKUP("electricity|NOx|Asthma symptoms cough", US_national_yearly!$D:$AM, 28, FALSE) / VLOOKUP("electricity|NOx|Asthma symptoms cough", US_national_yearly!$D:$AM, 10, FALSE), 1)</f>
        <v>1.6827978446560155E-3</v>
      </c>
      <c r="U6" s="7">
        <f>$B6 * IFERROR(VLOOKUP("electricity|NOx|Asthma symptoms cough", US_national_yearly!$D:$AM, 29, FALSE) / VLOOKUP("electricity|NOx|Asthma symptoms cough", US_national_yearly!$D:$AM, 10, FALSE), 1)</f>
        <v>1.6913211883539344E-3</v>
      </c>
      <c r="V6" s="7">
        <f>$B6 * IFERROR(VLOOKUP("electricity|NOx|Asthma symptoms cough", US_national_yearly!$D:$AM, 30, FALSE) / VLOOKUP("electricity|NOx|Asthma symptoms cough", US_national_yearly!$D:$AM, 10, FALSE), 1)</f>
        <v>1.6998445320518527E-3</v>
      </c>
      <c r="W6" s="7">
        <f>$B6 * IFERROR(VLOOKUP("electricity|NOx|Asthma symptoms cough", US_national_yearly!$D:$AM, 31, FALSE) / VLOOKUP("electricity|NOx|Asthma symptoms cough", US_national_yearly!$D:$AM, 10, FALSE), 1)</f>
        <v>1.7083678757497714E-3</v>
      </c>
      <c r="X6" s="7">
        <f>$B6 * IFERROR(VLOOKUP("electricity|NOx|Asthma symptoms cough", US_national_yearly!$D:$AM, 32, FALSE) / VLOOKUP("electricity|NOx|Asthma symptoms cough", US_national_yearly!$D:$AM, 10, FALSE), 1)</f>
        <v>1.716220489193472E-3</v>
      </c>
      <c r="Y6" s="7">
        <f>$B6 * IFERROR(VLOOKUP("electricity|NOx|Asthma symptoms cough", US_national_yearly!$D:$AM, 33, FALSE) / VLOOKUP("electricity|NOx|Asthma symptoms cough", US_national_yearly!$D:$AM, 10, FALSE), 1)</f>
        <v>1.7240731026371729E-3</v>
      </c>
      <c r="Z6" s="7">
        <f>$B6 * IFERROR(VLOOKUP("electricity|NOx|Asthma symptoms cough", US_national_yearly!$D:$AM, 34, FALSE) / VLOOKUP("electricity|NOx|Asthma symptoms cough", US_national_yearly!$D:$AM, 10, FALSE), 1)</f>
        <v>1.7319257160808739E-3</v>
      </c>
      <c r="AA6" s="7">
        <f>$B6 * IFERROR(VLOOKUP("electricity|NOx|Asthma symptoms cough", US_national_yearly!$D:$AM, 35, FALSE) / VLOOKUP("electricity|NOx|Asthma symptoms cough", US_national_yearly!$D:$AM, 10, FALSE), 1)</f>
        <v>1.7397783295245745E-3</v>
      </c>
      <c r="AB6" s="7">
        <f>$B6 * IFERROR(VLOOKUP("electricity|NOx|Asthma symptoms cough", US_national_yearly!$D:$AM, 36, FALSE) / VLOOKUP("electricity|NOx|Asthma symptoms cough", US_national_yearly!$D:$AM, 10, FALSE), 1)</f>
        <v>1.7476309429682755E-3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2.0010923569898356E-3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2.0285648155059094E-3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2.0560372740219836E-3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2.0835097325380579E-3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2.1109821910541317E-3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2.1333187564505566E-3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2.1556553218469816E-3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2.1639586728903872E-3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2.1722620239337919E-3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2.1805653749771971E-3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2.1888687260206018E-3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2.1971720770640069E-3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2.2063721208743026E-3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2.2155721646845987E-3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2.2247722084948944E-3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2.2339722523051905E-3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2.2431722961154866E-3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2.2546501980110238E-3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2.2661280999065605E-3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2.2776060018020977E-3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2.2890839036976344E-3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2.3005618055931716E-3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2.3111364732201602E-3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2.3217111408471492E-3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2.3322858084741378E-3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2.3428604761011268E-3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2.3534351437281159E-3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3.0573406249925338E-3</v>
      </c>
      <c r="C8" s="7">
        <f>$B8 * IFERROR(VLOOKUP("electricity|NOx|Asthma symptoms wheeze", US_national_yearly!$D:$AM, 11, FALSE) / VLOOKUP("electricity|NOx|Asthma symptoms wheeze", US_national_yearly!$D:$AM, 10, FALSE), 1)</f>
        <v>3.099314031832607E-3</v>
      </c>
      <c r="D8" s="7">
        <f>$B8 * IFERROR(VLOOKUP("electricity|NOx|Asthma symptoms wheeze", US_national_yearly!$D:$AM, 12, FALSE) / VLOOKUP("electricity|NOx|Asthma symptoms wheeze", US_national_yearly!$D:$AM, 10, FALSE), 1)</f>
        <v>3.1412874386726798E-3</v>
      </c>
      <c r="E8" s="7">
        <f>$B8 * IFERROR(VLOOKUP("electricity|NOx|Asthma symptoms wheeze", US_national_yearly!$D:$AM, 13, FALSE) / VLOOKUP("electricity|NOx|Asthma symptoms wheeze", US_national_yearly!$D:$AM, 10, FALSE), 1)</f>
        <v>3.1832608455127529E-3</v>
      </c>
      <c r="F8" s="7">
        <f>$B8 * IFERROR(VLOOKUP("electricity|NOx|Asthma symptoms wheeze", US_national_yearly!$D:$AM, 14, FALSE) / VLOOKUP("electricity|NOx|Asthma symptoms wheeze", US_national_yearly!$D:$AM, 10, FALSE), 1)</f>
        <v>3.2252342523528266E-3</v>
      </c>
      <c r="G8" s="7">
        <f>$B8 * IFERROR(VLOOKUP("electricity|NOx|Asthma symptoms wheeze", US_national_yearly!$D:$AM, 15, FALSE) / VLOOKUP("electricity|NOx|Asthma symptoms wheeze", US_national_yearly!$D:$AM, 10, FALSE), 1)</f>
        <v>3.2593608576303038E-3</v>
      </c>
      <c r="H8" s="7">
        <f>$B8 * IFERROR(VLOOKUP("electricity|NOx|Asthma symptoms wheeze", US_national_yearly!$D:$AM, 16, FALSE) / VLOOKUP("electricity|NOx|Asthma symptoms wheeze", US_national_yearly!$D:$AM, 10, FALSE), 1)</f>
        <v>3.2934874629077819E-3</v>
      </c>
      <c r="I8" s="7">
        <f>$B8 * IFERROR(VLOOKUP("electricity|NOx|Asthma symptoms wheeze", US_national_yearly!$D:$AM, 17, FALSE) / VLOOKUP("electricity|NOx|Asthma symptoms wheeze", US_national_yearly!$D:$AM, 10, FALSE), 1)</f>
        <v>3.306173620333119E-3</v>
      </c>
      <c r="J8" s="7">
        <f>$B8 * IFERROR(VLOOKUP("electricity|NOx|Asthma symptoms wheeze", US_national_yearly!$D:$AM, 18, FALSE) / VLOOKUP("electricity|NOx|Asthma symptoms wheeze", US_national_yearly!$D:$AM, 10, FALSE), 1)</f>
        <v>3.3188597777584557E-3</v>
      </c>
      <c r="K8" s="7">
        <f>$B8 * IFERROR(VLOOKUP("electricity|NOx|Asthma symptoms wheeze", US_national_yearly!$D:$AM, 19, FALSE) / VLOOKUP("electricity|NOx|Asthma symptoms wheeze", US_national_yearly!$D:$AM, 10, FALSE), 1)</f>
        <v>3.3315459351837941E-3</v>
      </c>
      <c r="L8" s="7">
        <f>$B8 * IFERROR(VLOOKUP("electricity|NOx|Asthma symptoms wheeze", US_national_yearly!$D:$AM, 20, FALSE) / VLOOKUP("electricity|NOx|Asthma symptoms wheeze", US_national_yearly!$D:$AM, 10, FALSE), 1)</f>
        <v>3.3442320926091312E-3</v>
      </c>
      <c r="M8" s="7">
        <f>$B8 * IFERROR(VLOOKUP("electricity|NOx|Asthma symptoms wheeze", US_national_yearly!$D:$AM, 21, FALSE) / VLOOKUP("electricity|NOx|Asthma symptoms wheeze", US_national_yearly!$D:$AM, 10, FALSE), 1)</f>
        <v>3.3569182500344684E-3</v>
      </c>
      <c r="N8" s="7">
        <f>$B8 * IFERROR(VLOOKUP("electricity|NOx|Asthma symptoms wheeze", US_national_yearly!$D:$AM, 22, FALSE) / VLOOKUP("electricity|NOx|Asthma symptoms wheeze", US_national_yearly!$D:$AM, 10, FALSE), 1)</f>
        <v>3.3709744067936431E-3</v>
      </c>
      <c r="O8" s="7">
        <f>$B8 * IFERROR(VLOOKUP("electricity|NOx|Asthma symptoms wheeze", US_national_yearly!$D:$AM, 23, FALSE) / VLOOKUP("electricity|NOx|Asthma symptoms wheeze", US_national_yearly!$D:$AM, 10, FALSE), 1)</f>
        <v>3.3850305635528192E-3</v>
      </c>
      <c r="P8" s="7">
        <f>$B8 * IFERROR(VLOOKUP("electricity|NOx|Asthma symptoms wheeze", US_national_yearly!$D:$AM, 24, FALSE) / VLOOKUP("electricity|NOx|Asthma symptoms wheeze", US_national_yearly!$D:$AM, 10, FALSE), 1)</f>
        <v>3.3990867203119949E-3</v>
      </c>
      <c r="Q8" s="7">
        <f>$B8 * IFERROR(VLOOKUP("electricity|NOx|Asthma symptoms wheeze", US_national_yearly!$D:$AM, 25, FALSE) / VLOOKUP("electricity|NOx|Asthma symptoms wheeze", US_national_yearly!$D:$AM, 10, FALSE), 1)</f>
        <v>3.4131428770711701E-3</v>
      </c>
      <c r="R8" s="7">
        <f>$B8 * IFERROR(VLOOKUP("electricity|NOx|Asthma symptoms wheeze", US_national_yearly!$D:$AM, 26, FALSE) / VLOOKUP("electricity|NOx|Asthma symptoms wheeze", US_national_yearly!$D:$AM, 10, FALSE), 1)</f>
        <v>3.4271990338303453E-3</v>
      </c>
      <c r="S8" s="7">
        <f>$B8 * IFERROR(VLOOKUP("electricity|NOx|Asthma symptoms wheeze", US_national_yearly!$D:$AM, 27, FALSE) / VLOOKUP("electricity|NOx|Asthma symptoms wheeze", US_national_yearly!$D:$AM, 10, FALSE), 1)</f>
        <v>3.4447353837945482E-3</v>
      </c>
      <c r="T8" s="7">
        <f>$B8 * IFERROR(VLOOKUP("electricity|NOx|Asthma symptoms wheeze", US_national_yearly!$D:$AM, 28, FALSE) / VLOOKUP("electricity|NOx|Asthma symptoms wheeze", US_national_yearly!$D:$AM, 10, FALSE), 1)</f>
        <v>3.4622717337587515E-3</v>
      </c>
      <c r="U8" s="7">
        <f>$B8 * IFERROR(VLOOKUP("electricity|NOx|Asthma symptoms wheeze", US_national_yearly!$D:$AM, 29, FALSE) / VLOOKUP("electricity|NOx|Asthma symptoms wheeze", US_national_yearly!$D:$AM, 10, FALSE), 1)</f>
        <v>3.4798080837229544E-3</v>
      </c>
      <c r="V8" s="7">
        <f>$B8 * IFERROR(VLOOKUP("electricity|NOx|Asthma symptoms wheeze", US_national_yearly!$D:$AM, 30, FALSE) / VLOOKUP("electricity|NOx|Asthma symptoms wheeze", US_national_yearly!$D:$AM, 10, FALSE), 1)</f>
        <v>3.4973444336871577E-3</v>
      </c>
      <c r="W8" s="7">
        <f>$B8 * IFERROR(VLOOKUP("electricity|NOx|Asthma symptoms wheeze", US_national_yearly!$D:$AM, 31, FALSE) / VLOOKUP("electricity|NOx|Asthma symptoms wheeze", US_national_yearly!$D:$AM, 10, FALSE), 1)</f>
        <v>3.5148807836513606E-3</v>
      </c>
      <c r="X8" s="7">
        <f>$B8 * IFERROR(VLOOKUP("electricity|NOx|Asthma symptoms wheeze", US_national_yearly!$D:$AM, 32, FALSE) / VLOOKUP("electricity|NOx|Asthma symptoms wheeze", US_national_yearly!$D:$AM, 10, FALSE), 1)</f>
        <v>3.5310371399289021E-3</v>
      </c>
      <c r="Y8" s="7">
        <f>$B8 * IFERROR(VLOOKUP("electricity|NOx|Asthma symptoms wheeze", US_national_yearly!$D:$AM, 33, FALSE) / VLOOKUP("electricity|NOx|Asthma symptoms wheeze", US_national_yearly!$D:$AM, 10, FALSE), 1)</f>
        <v>3.5471934962064441E-3</v>
      </c>
      <c r="Z8" s="7">
        <f>$B8 * IFERROR(VLOOKUP("electricity|NOx|Asthma symptoms wheeze", US_national_yearly!$D:$AM, 34, FALSE) / VLOOKUP("electricity|NOx|Asthma symptoms wheeze", US_national_yearly!$D:$AM, 10, FALSE), 1)</f>
        <v>3.5633498524839848E-3</v>
      </c>
      <c r="AA8" s="7">
        <f>$B8 * IFERROR(VLOOKUP("electricity|NOx|Asthma symptoms wheeze", US_national_yearly!$D:$AM, 35, FALSE) / VLOOKUP("electricity|NOx|Asthma symptoms wheeze", US_national_yearly!$D:$AM, 10, FALSE), 1)</f>
        <v>3.5795062087615268E-3</v>
      </c>
      <c r="AB8" s="7">
        <f>$B8 * IFERROR(VLOOKUP("electricity|NOx|Asthma symptoms wheeze", US_national_yearly!$D:$AM, 36, FALSE) / VLOOKUP("electricity|NOx|Asthma symptoms wheeze", US_national_yearly!$D:$AM, 10, FALSE), 1)</f>
        <v>3.5956625650390684E-3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6.8551059385374386E-5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7.0306766512761277E-5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7.2062473640148168E-5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7.3818180767535059E-5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7.5573887894921923E-5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7.7264026884111363E-5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7.8954165873300829E-5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8.0407546359007899E-5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8.1860926844714969E-5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8.331430733042208E-5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8.4767687816129149E-5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8.6221068301836233E-5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8.7217088198923264E-5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8.821310809601031E-5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8.9209127993097341E-5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9.0205147890184373E-5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9.1201167787271405E-5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9.1768432894875185E-5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9.233569800247898E-5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9.2902963110082747E-5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9.3470228217686527E-5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9.4037493325290308E-5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9.4450091101153495E-5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9.4862688877016656E-5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9.5275286652879857E-5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9.5687884428743031E-5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9.6100482204606206E-5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3.849668033618041E-4</v>
      </c>
      <c r="C13" s="7">
        <f>$B13 * IFERROR(VLOOKUP("electricity|NOx|Non-fatal heart attacks", US_national_yearly!$D:$AM, 11, FALSE) / VLOOKUP("electricity|NOx|Non-fatal heart attacks", US_national_yearly!$D:$AM, 10, FALSE), 1)</f>
        <v>3.9601429005419966E-4</v>
      </c>
      <c r="D13" s="7">
        <f>$B13 * IFERROR(VLOOKUP("electricity|NOx|Non-fatal heart attacks", US_national_yearly!$D:$AM, 12, FALSE) / VLOOKUP("electricity|NOx|Non-fatal heart attacks", US_national_yearly!$D:$AM, 10, FALSE), 1)</f>
        <v>4.0706177674659522E-4</v>
      </c>
      <c r="E13" s="7">
        <f>$B13 * IFERROR(VLOOKUP("electricity|NOx|Non-fatal heart attacks", US_national_yearly!$D:$AM, 13, FALSE) / VLOOKUP("electricity|NOx|Non-fatal heart attacks", US_national_yearly!$D:$AM, 10, FALSE), 1)</f>
        <v>4.1810926343899079E-4</v>
      </c>
      <c r="F13" s="7">
        <f>$B13 * IFERROR(VLOOKUP("electricity|NOx|Non-fatal heart attacks", US_national_yearly!$D:$AM, 14, FALSE) / VLOOKUP("electricity|NOx|Non-fatal heart attacks", US_national_yearly!$D:$AM, 10, FALSE), 1)</f>
        <v>4.291567501313864E-4</v>
      </c>
      <c r="G13" s="7">
        <f>$B13 * IFERROR(VLOOKUP("electricity|NOx|Non-fatal heart attacks", US_national_yearly!$D:$AM, 15, FALSE) / VLOOKUP("electricity|NOx|Non-fatal heart attacks", US_national_yearly!$D:$AM, 10, FALSE), 1)</f>
        <v>4.3956390646941192E-4</v>
      </c>
      <c r="H13" s="7">
        <f>$B13 * IFERROR(VLOOKUP("electricity|NOx|Non-fatal heart attacks", US_national_yearly!$D:$AM, 16, FALSE) / VLOOKUP("electricity|NOx|Non-fatal heart attacks", US_national_yearly!$D:$AM, 10, FALSE), 1)</f>
        <v>4.4997106280743744E-4</v>
      </c>
      <c r="I13" s="7">
        <f>$B13 * IFERROR(VLOOKUP("electricity|NOx|Non-fatal heart attacks", US_national_yearly!$D:$AM, 17, FALSE) / VLOOKUP("electricity|NOx|Non-fatal heart attacks", US_national_yearly!$D:$AM, 10, FALSE), 1)</f>
        <v>4.583165493056556E-4</v>
      </c>
      <c r="J13" s="7">
        <f>$B13 * IFERROR(VLOOKUP("electricity|NOx|Non-fatal heart attacks", US_national_yearly!$D:$AM, 18, FALSE) / VLOOKUP("electricity|NOx|Non-fatal heart attacks", US_national_yearly!$D:$AM, 10, FALSE), 1)</f>
        <v>4.6666203580387377E-4</v>
      </c>
      <c r="K13" s="7">
        <f>$B13 * IFERROR(VLOOKUP("electricity|NOx|Non-fatal heart attacks", US_national_yearly!$D:$AM, 19, FALSE) / VLOOKUP("electricity|NOx|Non-fatal heart attacks", US_national_yearly!$D:$AM, 10, FALSE), 1)</f>
        <v>4.750075223020915E-4</v>
      </c>
      <c r="L13" s="7">
        <f>$B13 * IFERROR(VLOOKUP("electricity|NOx|Non-fatal heart attacks", US_national_yearly!$D:$AM, 20, FALSE) / VLOOKUP("electricity|NOx|Non-fatal heart attacks", US_national_yearly!$D:$AM, 10, FALSE), 1)</f>
        <v>4.8335300880030966E-4</v>
      </c>
      <c r="M13" s="7">
        <f>$B13 * IFERROR(VLOOKUP("electricity|NOx|Non-fatal heart attacks", US_national_yearly!$D:$AM, 21, FALSE) / VLOOKUP("electricity|NOx|Non-fatal heart attacks", US_national_yearly!$D:$AM, 10, FALSE), 1)</f>
        <v>4.9169849529852793E-4</v>
      </c>
      <c r="N13" s="7">
        <f>$B13 * IFERROR(VLOOKUP("electricity|NOx|Non-fatal heart attacks", US_national_yearly!$D:$AM, 22, FALSE) / VLOOKUP("electricity|NOx|Non-fatal heart attacks", US_national_yearly!$D:$AM, 10, FALSE), 1)</f>
        <v>4.9684533021989601E-4</v>
      </c>
      <c r="O13" s="7">
        <f>$B13 * IFERROR(VLOOKUP("electricity|NOx|Non-fatal heart attacks", US_national_yearly!$D:$AM, 23, FALSE) / VLOOKUP("electricity|NOx|Non-fatal heart attacks", US_national_yearly!$D:$AM, 10, FALSE), 1)</f>
        <v>5.019921651412642E-4</v>
      </c>
      <c r="P13" s="7">
        <f>$B13 * IFERROR(VLOOKUP("electricity|NOx|Non-fatal heart attacks", US_national_yearly!$D:$AM, 24, FALSE) / VLOOKUP("electricity|NOx|Non-fatal heart attacks", US_national_yearly!$D:$AM, 10, FALSE), 1)</f>
        <v>5.0713900006263239E-4</v>
      </c>
      <c r="Q13" s="7">
        <f>$B13 * IFERROR(VLOOKUP("electricity|NOx|Non-fatal heart attacks", US_national_yearly!$D:$AM, 25, FALSE) / VLOOKUP("electricity|NOx|Non-fatal heart attacks", US_national_yearly!$D:$AM, 10, FALSE), 1)</f>
        <v>5.1228583498400058E-4</v>
      </c>
      <c r="R13" s="7">
        <f>$B13 * IFERROR(VLOOKUP("electricity|NOx|Non-fatal heart attacks", US_national_yearly!$D:$AM, 26, FALSE) / VLOOKUP("electricity|NOx|Non-fatal heart attacks", US_national_yearly!$D:$AM, 10, FALSE), 1)</f>
        <v>5.1743266990536877E-4</v>
      </c>
      <c r="S13" s="7">
        <f>$B13 * IFERROR(VLOOKUP("electricity|NOx|Non-fatal heart attacks", US_national_yearly!$D:$AM, 27, FALSE) / VLOOKUP("electricity|NOx|Non-fatal heart attacks", US_national_yearly!$D:$AM, 10, FALSE), 1)</f>
        <v>5.1994739630118077E-4</v>
      </c>
      <c r="T13" s="7">
        <f>$B13 * IFERROR(VLOOKUP("electricity|NOx|Non-fatal heart attacks", US_national_yearly!$D:$AM, 28, FALSE) / VLOOKUP("electricity|NOx|Non-fatal heart attacks", US_national_yearly!$D:$AM, 10, FALSE), 1)</f>
        <v>5.2246212269699266E-4</v>
      </c>
      <c r="U13" s="7">
        <f>$B13 * IFERROR(VLOOKUP("electricity|NOx|Non-fatal heart attacks", US_national_yearly!$D:$AM, 29, FALSE) / VLOOKUP("electricity|NOx|Non-fatal heart attacks", US_national_yearly!$D:$AM, 10, FALSE), 1)</f>
        <v>5.2497684909280466E-4</v>
      </c>
      <c r="V13" s="7">
        <f>$B13 * IFERROR(VLOOKUP("electricity|NOx|Non-fatal heart attacks", US_national_yearly!$D:$AM, 30, FALSE) / VLOOKUP("electricity|NOx|Non-fatal heart attacks", US_national_yearly!$D:$AM, 10, FALSE), 1)</f>
        <v>5.2749157548861655E-4</v>
      </c>
      <c r="W13" s="7">
        <f>$B13 * IFERROR(VLOOKUP("electricity|NOx|Non-fatal heart attacks", US_national_yearly!$D:$AM, 31, FALSE) / VLOOKUP("electricity|NOx|Non-fatal heart attacks", US_national_yearly!$D:$AM, 10, FALSE), 1)</f>
        <v>5.3000630188442866E-4</v>
      </c>
      <c r="X13" s="7">
        <f>$B13 * IFERROR(VLOOKUP("electricity|NOx|Non-fatal heart attacks", US_national_yearly!$D:$AM, 32, FALSE) / VLOOKUP("electricity|NOx|Non-fatal heart attacks", US_national_yearly!$D:$AM, 10, FALSE), 1)</f>
        <v>5.3176151407953237E-4</v>
      </c>
      <c r="Y13" s="7">
        <f>$B13 * IFERROR(VLOOKUP("electricity|NOx|Non-fatal heart attacks", US_national_yearly!$D:$AM, 33, FALSE) / VLOOKUP("electricity|NOx|Non-fatal heart attacks", US_national_yearly!$D:$AM, 10, FALSE), 1)</f>
        <v>5.3351672627463629E-4</v>
      </c>
      <c r="Z13" s="7">
        <f>$B13 * IFERROR(VLOOKUP("electricity|NOx|Non-fatal heart attacks", US_national_yearly!$D:$AM, 34, FALSE) / VLOOKUP("electricity|NOx|Non-fatal heart attacks", US_national_yearly!$D:$AM, 10, FALSE), 1)</f>
        <v>5.3527193846973999E-4</v>
      </c>
      <c r="AA13" s="7">
        <f>$B13 * IFERROR(VLOOKUP("electricity|NOx|Non-fatal heart attacks", US_national_yearly!$D:$AM, 35, FALSE) / VLOOKUP("electricity|NOx|Non-fatal heart attacks", US_national_yearly!$D:$AM, 10, FALSE), 1)</f>
        <v>5.3702715066484381E-4</v>
      </c>
      <c r="AB13" s="7">
        <f>$B13 * IFERROR(VLOOKUP("electricity|NOx|Non-fatal heart attacks", US_national_yearly!$D:$AM, 36, FALSE) / VLOOKUP("electricity|NOx|Non-fatal heart attacks", US_national_yearly!$D:$AM, 10, FALSE), 1)</f>
        <v>5.3878236285994773E-4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0.21089858231005973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0.21122193588441265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0.21154528945876555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0.21186864303311848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0.21219199660747143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0.21275603823952521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0.21332007987157897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0.21443603242082337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0.21555198497006767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0.21666793751931204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0.21778389006855636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0.21889984261780074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0.22051360376673554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0.22212736491567026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0.223741126064605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0.2253548872135398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0.22696864836247457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0.22859461329351205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0.23022057822454953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0.23184654315558706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0.23347250808662454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0.23509847301766201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0.23647355749116997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0.23784864196467775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0.2392237264381859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0.24059881091169377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0.24197389538520167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3.5606773441087376E-2</v>
      </c>
      <c r="C15" s="7">
        <f>$B15 * IFERROR(VLOOKUP("electricity|NOx|Work loss days", US_national_yearly!$D:$AM, 11, FALSE) / VLOOKUP("electricity|NOx|Work loss days", US_national_yearly!$D:$AM, 10, FALSE), 1)</f>
        <v>3.5686189271734725E-2</v>
      </c>
      <c r="D15" s="7">
        <f>$B15 * IFERROR(VLOOKUP("electricity|NOx|Work loss days", US_national_yearly!$D:$AM, 12, FALSE) / VLOOKUP("electricity|NOx|Work loss days", US_national_yearly!$D:$AM, 10, FALSE), 1)</f>
        <v>3.5765605102382074E-2</v>
      </c>
      <c r="E15" s="7">
        <f>$B15 * IFERROR(VLOOKUP("electricity|NOx|Work loss days", US_national_yearly!$D:$AM, 13, FALSE) / VLOOKUP("electricity|NOx|Work loss days", US_national_yearly!$D:$AM, 10, FALSE), 1)</f>
        <v>3.5845020933029416E-2</v>
      </c>
      <c r="F15" s="7">
        <f>$B15 * IFERROR(VLOOKUP("electricity|NOx|Work loss days", US_national_yearly!$D:$AM, 14, FALSE) / VLOOKUP("electricity|NOx|Work loss days", US_national_yearly!$D:$AM, 10, FALSE), 1)</f>
        <v>3.5924436763676765E-2</v>
      </c>
      <c r="G15" s="7">
        <f>$B15 * IFERROR(VLOOKUP("electricity|NOx|Work loss days", US_national_yearly!$D:$AM, 15, FALSE) / VLOOKUP("electricity|NOx|Work loss days", US_national_yearly!$D:$AM, 10, FALSE), 1)</f>
        <v>3.6036394879459144E-2</v>
      </c>
      <c r="H15" s="7">
        <f>$B15 * IFERROR(VLOOKUP("electricity|NOx|Work loss days", US_national_yearly!$D:$AM, 16, FALSE) / VLOOKUP("electricity|NOx|Work loss days", US_national_yearly!$D:$AM, 10, FALSE), 1)</f>
        <v>3.6148352995241509E-2</v>
      </c>
      <c r="I15" s="7">
        <f>$B15 * IFERROR(VLOOKUP("electricity|NOx|Work loss days", US_national_yearly!$D:$AM, 17, FALSE) / VLOOKUP("electricity|NOx|Work loss days", US_national_yearly!$D:$AM, 10, FALSE), 1)</f>
        <v>3.6330142920391634E-2</v>
      </c>
      <c r="J15" s="7">
        <f>$B15 * IFERROR(VLOOKUP("electricity|NOx|Work loss days", US_national_yearly!$D:$AM, 18, FALSE) / VLOOKUP("electricity|NOx|Work loss days", US_national_yearly!$D:$AM, 10, FALSE), 1)</f>
        <v>3.6511932845541759E-2</v>
      </c>
      <c r="K15" s="7">
        <f>$B15 * IFERROR(VLOOKUP("electricity|NOx|Work loss days", US_national_yearly!$D:$AM, 19, FALSE) / VLOOKUP("electricity|NOx|Work loss days", US_national_yearly!$D:$AM, 10, FALSE), 1)</f>
        <v>3.6693722770691869E-2</v>
      </c>
      <c r="L15" s="7">
        <f>$B15 * IFERROR(VLOOKUP("electricity|NOx|Work loss days", US_national_yearly!$D:$AM, 20, FALSE) / VLOOKUP("electricity|NOx|Work loss days", US_national_yearly!$D:$AM, 10, FALSE), 1)</f>
        <v>3.687551269584198E-2</v>
      </c>
      <c r="M15" s="7">
        <f>$B15 * IFERROR(VLOOKUP("electricity|NOx|Work loss days", US_national_yearly!$D:$AM, 21, FALSE) / VLOOKUP("electricity|NOx|Work loss days", US_national_yearly!$D:$AM, 10, FALSE), 1)</f>
        <v>3.7057302620992098E-2</v>
      </c>
      <c r="N15" s="7">
        <f>$B15 * IFERROR(VLOOKUP("electricity|NOx|Work loss days", US_national_yearly!$D:$AM, 22, FALSE) / VLOOKUP("electricity|NOx|Work loss days", US_national_yearly!$D:$AM, 10, FALSE), 1)</f>
        <v>3.729715062412297E-2</v>
      </c>
      <c r="O15" s="7">
        <f>$B15 * IFERROR(VLOOKUP("electricity|NOx|Work loss days", US_national_yearly!$D:$AM, 23, FALSE) / VLOOKUP("electricity|NOx|Work loss days", US_national_yearly!$D:$AM, 10, FALSE), 1)</f>
        <v>3.7536998627253834E-2</v>
      </c>
      <c r="P15" s="7">
        <f>$B15 * IFERROR(VLOOKUP("electricity|NOx|Work loss days", US_national_yearly!$D:$AM, 24, FALSE) / VLOOKUP("electricity|NOx|Work loss days", US_national_yearly!$D:$AM, 10, FALSE), 1)</f>
        <v>3.7776846630384706E-2</v>
      </c>
      <c r="Q15" s="7">
        <f>$B15 * IFERROR(VLOOKUP("electricity|NOx|Work loss days", US_national_yearly!$D:$AM, 25, FALSE) / VLOOKUP("electricity|NOx|Work loss days", US_national_yearly!$D:$AM, 10, FALSE), 1)</f>
        <v>3.8016694633515584E-2</v>
      </c>
      <c r="R15" s="7">
        <f>$B15 * IFERROR(VLOOKUP("electricity|NOx|Work loss days", US_national_yearly!$D:$AM, 26, FALSE) / VLOOKUP("electricity|NOx|Work loss days", US_national_yearly!$D:$AM, 10, FALSE), 1)</f>
        <v>3.8256542636646435E-2</v>
      </c>
      <c r="S15" s="7">
        <f>$B15 * IFERROR(VLOOKUP("electricity|NOx|Work loss days", US_national_yearly!$D:$AM, 27, FALSE) / VLOOKUP("electricity|NOx|Work loss days", US_national_yearly!$D:$AM, 10, FALSE), 1)</f>
        <v>3.8525322866432947E-2</v>
      </c>
      <c r="T15" s="7">
        <f>$B15 * IFERROR(VLOOKUP("electricity|NOx|Work loss days", US_national_yearly!$D:$AM, 28, FALSE) / VLOOKUP("electricity|NOx|Work loss days", US_national_yearly!$D:$AM, 10, FALSE), 1)</f>
        <v>3.8794103096219446E-2</v>
      </c>
      <c r="U15" s="7">
        <f>$B15 * IFERROR(VLOOKUP("electricity|NOx|Work loss days", US_national_yearly!$D:$AM, 29, FALSE) / VLOOKUP("electricity|NOx|Work loss days", US_national_yearly!$D:$AM, 10, FALSE), 1)</f>
        <v>3.9062883326005944E-2</v>
      </c>
      <c r="V15" s="7">
        <f>$B15 * IFERROR(VLOOKUP("electricity|NOx|Work loss days", US_national_yearly!$D:$AM, 30, FALSE) / VLOOKUP("electricity|NOx|Work loss days", US_national_yearly!$D:$AM, 10, FALSE), 1)</f>
        <v>3.933166355579245E-2</v>
      </c>
      <c r="W15" s="7">
        <f>$B15 * IFERROR(VLOOKUP("electricity|NOx|Work loss days", US_national_yearly!$D:$AM, 31, FALSE) / VLOOKUP("electricity|NOx|Work loss days", US_national_yearly!$D:$AM, 10, FALSE), 1)</f>
        <v>3.9600443785578955E-2</v>
      </c>
      <c r="X15" s="7">
        <f>$B15 * IFERROR(VLOOKUP("electricity|NOx|Work loss days", US_national_yearly!$D:$AM, 32, FALSE) / VLOOKUP("electricity|NOx|Work loss days", US_national_yearly!$D:$AM, 10, FALSE), 1)</f>
        <v>3.9834740675607945E-2</v>
      </c>
      <c r="Y15" s="7">
        <f>$B15 * IFERROR(VLOOKUP("electricity|NOx|Work loss days", US_national_yearly!$D:$AM, 33, FALSE) / VLOOKUP("electricity|NOx|Work loss days", US_national_yearly!$D:$AM, 10, FALSE), 1)</f>
        <v>4.0069037565636935E-2</v>
      </c>
      <c r="Z15" s="7">
        <f>$B15 * IFERROR(VLOOKUP("electricity|NOx|Work loss days", US_national_yearly!$D:$AM, 34, FALSE) / VLOOKUP("electricity|NOx|Work loss days", US_national_yearly!$D:$AM, 10, FALSE), 1)</f>
        <v>4.0303334455665925E-2</v>
      </c>
      <c r="AA15" s="7">
        <f>$B15 * IFERROR(VLOOKUP("electricity|NOx|Work loss days", US_national_yearly!$D:$AM, 35, FALSE) / VLOOKUP("electricity|NOx|Work loss days", US_national_yearly!$D:$AM, 10, FALSE), 1)</f>
        <v>4.0537631345694922E-2</v>
      </c>
      <c r="AB15" s="7">
        <f>$B15 * IFERROR(VLOOKUP("electricity|NOx|Work loss days", US_national_yearly!$D:$AM, 36, FALSE) / VLOOKUP("electricity|NOx|Work loss days", US_national_yearly!$D:$AM, 10, FALSE), 1)</f>
        <v>4.0771928235723905E-2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9.9828378422950535E-5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1.0276898636979829E-4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1.0570959431664607E-4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1.0865020226349382E-4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1.1159081021034159E-4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1.1440667063820758E-4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1.1722253106607359E-4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1.1962601249273662E-4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1.2202949391939968E-4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1.2443297534606274E-4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1.2683645677272581E-4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1.2923993819938882E-4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1.3078242557907198E-4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1.3232491295875516E-4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1.3386740033843831E-4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1.3540988771812147E-4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1.3695237509780462E-4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1.3771146032090232E-4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1.38470545544E-4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1.3922963076709767E-4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1.399887159901954E-4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1.4074780121329307E-4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1.4120274982030821E-4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1.4165769842732338E-4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1.4211264703433853E-4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1.4256759564135367E-4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1.4302254424836884E-4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9.8441698325018711E-3</v>
      </c>
      <c r="C2" s="7">
        <f>$B2 * IFERROR(VLOOKUP("electricity|SO2|Premature mortality", US_national_yearly!$D:$AM, 11, FALSE) / VLOOKUP("electricity|SO2|Premature mortality", US_national_yearly!$D:$AM, 10, FALSE), 1)</f>
        <v>9.9703743608686307E-3</v>
      </c>
      <c r="D2" s="7">
        <f>$B2 * IFERROR(VLOOKUP("electricity|SO2|Premature mortality", US_national_yearly!$D:$AM, 12, FALSE) / VLOOKUP("electricity|SO2|Premature mortality", US_national_yearly!$D:$AM, 10, FALSE), 1)</f>
        <v>1.0096578889235387E-2</v>
      </c>
      <c r="E2" s="7">
        <f>$B2 * IFERROR(VLOOKUP("electricity|SO2|Premature mortality", US_national_yearly!$D:$AM, 13, FALSE) / VLOOKUP("electricity|SO2|Premature mortality", US_national_yearly!$D:$AM, 10, FALSE), 1)</f>
        <v>1.0222783417602146E-2</v>
      </c>
      <c r="F2" s="7">
        <f>$B2 * IFERROR(VLOOKUP("electricity|SO2|Premature mortality", US_national_yearly!$D:$AM, 14, FALSE) / VLOOKUP("electricity|SO2|Premature mortality", US_national_yearly!$D:$AM, 10, FALSE), 1)</f>
        <v>1.0348987945968903E-2</v>
      </c>
      <c r="G2" s="7">
        <f>$B2 * IFERROR(VLOOKUP("electricity|SO2|Premature mortality", US_national_yearly!$D:$AM, 15, FALSE) / VLOOKUP("electricity|SO2|Premature mortality", US_national_yearly!$D:$AM, 10, FALSE), 1)</f>
        <v>1.0592108487686137E-2</v>
      </c>
      <c r="H2" s="7">
        <f>$B2 * IFERROR(VLOOKUP("electricity|SO2|Premature mortality", US_national_yearly!$D:$AM, 16, FALSE) / VLOOKUP("electricity|SO2|Premature mortality", US_national_yearly!$D:$AM, 10, FALSE), 1)</f>
        <v>1.0835229029403372E-2</v>
      </c>
      <c r="I2" s="7">
        <f>$B2 * IFERROR(VLOOKUP("electricity|SO2|Premature mortality", US_national_yearly!$D:$AM, 17, FALSE) / VLOOKUP("electricity|SO2|Premature mortality", US_national_yearly!$D:$AM, 10, FALSE), 1)</f>
        <v>1.0998882732921834E-2</v>
      </c>
      <c r="J2" s="7">
        <f>$B2 * IFERROR(VLOOKUP("electricity|SO2|Premature mortality", US_national_yearly!$D:$AM, 18, FALSE) / VLOOKUP("electricity|SO2|Premature mortality", US_national_yearly!$D:$AM, 10, FALSE), 1)</f>
        <v>1.1162536436440296E-2</v>
      </c>
      <c r="K2" s="7">
        <f>$B2 * IFERROR(VLOOKUP("electricity|SO2|Premature mortality", US_national_yearly!$D:$AM, 19, FALSE) / VLOOKUP("electricity|SO2|Premature mortality", US_national_yearly!$D:$AM, 10, FALSE), 1)</f>
        <v>1.1326190139958756E-2</v>
      </c>
      <c r="L2" s="7">
        <f>$B2 * IFERROR(VLOOKUP("electricity|SO2|Premature mortality", US_national_yearly!$D:$AM, 20, FALSE) / VLOOKUP("electricity|SO2|Premature mortality", US_national_yearly!$D:$AM, 10, FALSE), 1)</f>
        <v>1.148984384347722E-2</v>
      </c>
      <c r="M2" s="7">
        <f>$B2 * IFERROR(VLOOKUP("electricity|SO2|Premature mortality", US_national_yearly!$D:$AM, 21, FALSE) / VLOOKUP("electricity|SO2|Premature mortality", US_national_yearly!$D:$AM, 10, FALSE), 1)</f>
        <v>1.165349754699568E-2</v>
      </c>
      <c r="N2" s="7">
        <f>$B2 * IFERROR(VLOOKUP("electricity|SO2|Premature mortality", US_national_yearly!$D:$AM, 22, FALSE) / VLOOKUP("electricity|SO2|Premature mortality", US_national_yearly!$D:$AM, 10, FALSE), 1)</f>
        <v>1.1784652946452062E-2</v>
      </c>
      <c r="O2" s="7">
        <f>$B2 * IFERROR(VLOOKUP("electricity|SO2|Premature mortality", US_national_yearly!$D:$AM, 23, FALSE) / VLOOKUP("electricity|SO2|Premature mortality", US_national_yearly!$D:$AM, 10, FALSE), 1)</f>
        <v>1.1915808345908444E-2</v>
      </c>
      <c r="P2" s="7">
        <f>$B2 * IFERROR(VLOOKUP("electricity|SO2|Premature mortality", US_national_yearly!$D:$AM, 24, FALSE) / VLOOKUP("electricity|SO2|Premature mortality", US_national_yearly!$D:$AM, 10, FALSE), 1)</f>
        <v>1.2046963745364824E-2</v>
      </c>
      <c r="Q2" s="7">
        <f>$B2 * IFERROR(VLOOKUP("electricity|SO2|Premature mortality", US_national_yearly!$D:$AM, 25, FALSE) / VLOOKUP("electricity|SO2|Premature mortality", US_national_yearly!$D:$AM, 10, FALSE), 1)</f>
        <v>1.2178119144821205E-2</v>
      </c>
      <c r="R2" s="7">
        <f>$B2 * IFERROR(VLOOKUP("electricity|SO2|Premature mortality", US_national_yearly!$D:$AM, 26, FALSE) / VLOOKUP("electricity|SO2|Premature mortality", US_national_yearly!$D:$AM, 10, FALSE), 1)</f>
        <v>1.2309274544277587E-2</v>
      </c>
      <c r="S2" s="7">
        <f>$B2 * IFERROR(VLOOKUP("electricity|SO2|Premature mortality", US_national_yearly!$D:$AM, 27, FALSE) / VLOOKUP("electricity|SO2|Premature mortality", US_national_yearly!$D:$AM, 10, FALSE), 1)</f>
        <v>1.2384469765775544E-2</v>
      </c>
      <c r="T2" s="7">
        <f>$B2 * IFERROR(VLOOKUP("electricity|SO2|Premature mortality", US_national_yearly!$D:$AM, 28, FALSE) / VLOOKUP("electricity|SO2|Premature mortality", US_national_yearly!$D:$AM, 10, FALSE), 1)</f>
        <v>1.2459664987273505E-2</v>
      </c>
      <c r="U2" s="7">
        <f>$B2 * IFERROR(VLOOKUP("electricity|SO2|Premature mortality", US_national_yearly!$D:$AM, 29, FALSE) / VLOOKUP("electricity|SO2|Premature mortality", US_national_yearly!$D:$AM, 10, FALSE), 1)</f>
        <v>1.2534860208771462E-2</v>
      </c>
      <c r="V2" s="7">
        <f>$B2 * IFERROR(VLOOKUP("electricity|SO2|Premature mortality", US_national_yearly!$D:$AM, 30, FALSE) / VLOOKUP("electricity|SO2|Premature mortality", US_national_yearly!$D:$AM, 10, FALSE), 1)</f>
        <v>1.2610055430269421E-2</v>
      </c>
      <c r="W2" s="7">
        <f>$B2 * IFERROR(VLOOKUP("electricity|SO2|Premature mortality", US_national_yearly!$D:$AM, 31, FALSE) / VLOOKUP("electricity|SO2|Premature mortality", US_national_yearly!$D:$AM, 10, FALSE), 1)</f>
        <v>1.268525065176738E-2</v>
      </c>
      <c r="X2" s="7">
        <f>$B2 * IFERROR(VLOOKUP("electricity|SO2|Premature mortality", US_national_yearly!$D:$AM, 32, FALSE) / VLOOKUP("electricity|SO2|Premature mortality", US_national_yearly!$D:$AM, 10, FALSE), 1)</f>
        <v>1.2707406598062959E-2</v>
      </c>
      <c r="Y2" s="7">
        <f>$B2 * IFERROR(VLOOKUP("electricity|SO2|Premature mortality", US_national_yearly!$D:$AM, 33, FALSE) / VLOOKUP("electricity|SO2|Premature mortality", US_national_yearly!$D:$AM, 10, FALSE), 1)</f>
        <v>1.2729562544358537E-2</v>
      </c>
      <c r="Z2" s="7">
        <f>$B2 * IFERROR(VLOOKUP("electricity|SO2|Premature mortality", US_national_yearly!$D:$AM, 34, FALSE) / VLOOKUP("electricity|SO2|Premature mortality", US_national_yearly!$D:$AM, 10, FALSE), 1)</f>
        <v>1.2751718490654113E-2</v>
      </c>
      <c r="AA2" s="7">
        <f>$B2 * IFERROR(VLOOKUP("electricity|SO2|Premature mortality", US_national_yearly!$D:$AM, 35, FALSE) / VLOOKUP("electricity|SO2|Premature mortality", US_national_yearly!$D:$AM, 10, FALSE), 1)</f>
        <v>1.2773874436949693E-2</v>
      </c>
      <c r="AB2" s="7">
        <f>$B2 * IFERROR(VLOOKUP("electricity|SO2|Premature mortality", US_national_yearly!$D:$AM, 36, FALSE) / VLOOKUP("electricity|SO2|Premature mortality", US_national_yearly!$D:$AM, 10, FALSE), 1)</f>
        <v>1.279603038324527E-2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1.7945069590010595E-5</v>
      </c>
      <c r="C3" s="7">
        <f>$B3 * IFERROR(VLOOKUP("electricity|SO2|Infant mortality", US_national_yearly!$D:$AM, 11, FALSE) / VLOOKUP("electricity|SO2|Infant mortality", US_national_yearly!$D:$AM, 10, FALSE), 1)</f>
        <v>1.7793467872108163E-5</v>
      </c>
      <c r="D3" s="7">
        <f>$B3 * IFERROR(VLOOKUP("electricity|SO2|Infant mortality", US_national_yearly!$D:$AM, 12, FALSE) / VLOOKUP("electricity|SO2|Infant mortality", US_national_yearly!$D:$AM, 10, FALSE), 1)</f>
        <v>1.7641866154205728E-5</v>
      </c>
      <c r="E3" s="7">
        <f>$B3 * IFERROR(VLOOKUP("electricity|SO2|Infant mortality", US_national_yearly!$D:$AM, 13, FALSE) / VLOOKUP("electricity|SO2|Infant mortality", US_national_yearly!$D:$AM, 10, FALSE), 1)</f>
        <v>1.7490264436303292E-5</v>
      </c>
      <c r="F3" s="7">
        <f>$B3 * IFERROR(VLOOKUP("electricity|SO2|Infant mortality", US_national_yearly!$D:$AM, 14, FALSE) / VLOOKUP("electricity|SO2|Infant mortality", US_national_yearly!$D:$AM, 10, FALSE), 1)</f>
        <v>1.7338662718400864E-5</v>
      </c>
      <c r="G3" s="7">
        <f>$B3 * IFERROR(VLOOKUP("electricity|SO2|Infant mortality", US_national_yearly!$D:$AM, 15, FALSE) / VLOOKUP("electricity|SO2|Infant mortality", US_national_yearly!$D:$AM, 10, FALSE), 1)</f>
        <v>1.1531108872429447E-5</v>
      </c>
      <c r="H3" s="7">
        <f>$B3 * IFERROR(VLOOKUP("electricity|SO2|Infant mortality", US_national_yearly!$D:$AM, 16, FALSE) / VLOOKUP("electricity|SO2|Infant mortality", US_national_yearly!$D:$AM, 10, FALSE), 1)</f>
        <v>5.7235550264580304E-6</v>
      </c>
      <c r="I3" s="7">
        <f>$B3 * IFERROR(VLOOKUP("electricity|SO2|Infant mortality", US_national_yearly!$D:$AM, 17, FALSE) / VLOOKUP("electricity|SO2|Infant mortality", US_national_yearly!$D:$AM, 10, FALSE), 1)</f>
        <v>5.6869386939868148E-6</v>
      </c>
      <c r="J3" s="7">
        <f>$B3 * IFERROR(VLOOKUP("electricity|SO2|Infant mortality", US_national_yearly!$D:$AM, 18, FALSE) / VLOOKUP("electricity|SO2|Infant mortality", US_national_yearly!$D:$AM, 10, FALSE), 1)</f>
        <v>5.6503223615155983E-6</v>
      </c>
      <c r="K3" s="7">
        <f>$B3 * IFERROR(VLOOKUP("electricity|SO2|Infant mortality", US_national_yearly!$D:$AM, 19, FALSE) / VLOOKUP("electricity|SO2|Infant mortality", US_national_yearly!$D:$AM, 10, FALSE), 1)</f>
        <v>5.6137060290443836E-6</v>
      </c>
      <c r="L3" s="7">
        <f>$B3 * IFERROR(VLOOKUP("electricity|SO2|Infant mortality", US_national_yearly!$D:$AM, 20, FALSE) / VLOOKUP("electricity|SO2|Infant mortality", US_national_yearly!$D:$AM, 10, FALSE), 1)</f>
        <v>5.5770896965731671E-6</v>
      </c>
      <c r="M3" s="7">
        <f>$B3 * IFERROR(VLOOKUP("electricity|SO2|Infant mortality", US_national_yearly!$D:$AM, 21, FALSE) / VLOOKUP("electricity|SO2|Infant mortality", US_national_yearly!$D:$AM, 10, FALSE), 1)</f>
        <v>5.5404733641019515E-6</v>
      </c>
      <c r="N3" s="7">
        <f>$B3 * IFERROR(VLOOKUP("electricity|SO2|Infant mortality", US_national_yearly!$D:$AM, 22, FALSE) / VLOOKUP("electricity|SO2|Infant mortality", US_national_yearly!$D:$AM, 10, FALSE), 1)</f>
        <v>5.5172716332675646E-6</v>
      </c>
      <c r="O3" s="7">
        <f>$B3 * IFERROR(VLOOKUP("electricity|SO2|Infant mortality", US_national_yearly!$D:$AM, 23, FALSE) / VLOOKUP("electricity|SO2|Infant mortality", US_national_yearly!$D:$AM, 10, FALSE), 1)</f>
        <v>5.4940699024331768E-6</v>
      </c>
      <c r="P3" s="7">
        <f>$B3 * IFERROR(VLOOKUP("electricity|SO2|Infant mortality", US_national_yearly!$D:$AM, 24, FALSE) / VLOOKUP("electricity|SO2|Infant mortality", US_national_yearly!$D:$AM, 10, FALSE), 1)</f>
        <v>5.470868171598789E-6</v>
      </c>
      <c r="Q3" s="7">
        <f>$B3 * IFERROR(VLOOKUP("electricity|SO2|Infant mortality", US_national_yearly!$D:$AM, 25, FALSE) / VLOOKUP("electricity|SO2|Infant mortality", US_national_yearly!$D:$AM, 10, FALSE), 1)</f>
        <v>5.4476664407644021E-6</v>
      </c>
      <c r="R3" s="7">
        <f>$B3 * IFERROR(VLOOKUP("electricity|SO2|Infant mortality", US_national_yearly!$D:$AM, 26, FALSE) / VLOOKUP("electricity|SO2|Infant mortality", US_national_yearly!$D:$AM, 10, FALSE), 1)</f>
        <v>5.4244647099300152E-6</v>
      </c>
      <c r="S3" s="7">
        <f>$B3 * IFERROR(VLOOKUP("electricity|SO2|Infant mortality", US_national_yearly!$D:$AM, 27, FALSE) / VLOOKUP("electricity|SO2|Infant mortality", US_national_yearly!$D:$AM, 10, FALSE), 1)</f>
        <v>5.3955466923552293E-6</v>
      </c>
      <c r="T3" s="7">
        <f>$B3 * IFERROR(VLOOKUP("electricity|SO2|Infant mortality", US_national_yearly!$D:$AM, 28, FALSE) / VLOOKUP("electricity|SO2|Infant mortality", US_national_yearly!$D:$AM, 10, FALSE), 1)</f>
        <v>5.3666286747804452E-6</v>
      </c>
      <c r="U3" s="7">
        <f>$B3 * IFERROR(VLOOKUP("electricity|SO2|Infant mortality", US_national_yearly!$D:$AM, 29, FALSE) / VLOOKUP("electricity|SO2|Infant mortality", US_national_yearly!$D:$AM, 10, FALSE), 1)</f>
        <v>5.3377106572056602E-6</v>
      </c>
      <c r="V3" s="7">
        <f>$B3 * IFERROR(VLOOKUP("electricity|SO2|Infant mortality", US_national_yearly!$D:$AM, 30, FALSE) / VLOOKUP("electricity|SO2|Infant mortality", US_national_yearly!$D:$AM, 10, FALSE), 1)</f>
        <v>5.308792639630876E-6</v>
      </c>
      <c r="W3" s="7">
        <f>$B3 * IFERROR(VLOOKUP("electricity|SO2|Infant mortality", US_national_yearly!$D:$AM, 31, FALSE) / VLOOKUP("electricity|SO2|Infant mortality", US_national_yearly!$D:$AM, 10, FALSE), 1)</f>
        <v>5.2798746220560902E-6</v>
      </c>
      <c r="X3" s="7">
        <f>$B3 * IFERROR(VLOOKUP("electricity|SO2|Infant mortality", US_national_yearly!$D:$AM, 32, FALSE) / VLOOKUP("electricity|SO2|Infant mortality", US_national_yearly!$D:$AM, 10, FALSE), 1)</f>
        <v>5.2490199441366192E-6</v>
      </c>
      <c r="Y3" s="7">
        <f>$B3 * IFERROR(VLOOKUP("electricity|SO2|Infant mortality", US_national_yearly!$D:$AM, 33, FALSE) / VLOOKUP("electricity|SO2|Infant mortality", US_national_yearly!$D:$AM, 10, FALSE), 1)</f>
        <v>5.2181652662171457E-6</v>
      </c>
      <c r="Z3" s="7">
        <f>$B3 * IFERROR(VLOOKUP("electricity|SO2|Infant mortality", US_national_yearly!$D:$AM, 34, FALSE) / VLOOKUP("electricity|SO2|Infant mortality", US_national_yearly!$D:$AM, 10, FALSE), 1)</f>
        <v>5.1873105882976738E-6</v>
      </c>
      <c r="AA3" s="7">
        <f>$B3 * IFERROR(VLOOKUP("electricity|SO2|Infant mortality", US_national_yearly!$D:$AM, 35, FALSE) / VLOOKUP("electricity|SO2|Infant mortality", US_national_yearly!$D:$AM, 10, FALSE), 1)</f>
        <v>5.1564559103782028E-6</v>
      </c>
      <c r="AB3" s="7">
        <f>$B3 * IFERROR(VLOOKUP("electricity|SO2|Infant mortality", US_national_yearly!$D:$AM, 36, FALSE) / VLOOKUP("electricity|SO2|Infant mortality", US_national_yearly!$D:$AM, 10, FALSE), 1)</f>
        <v>5.1256012324587301E-6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1.9801787539524402E-2</v>
      </c>
      <c r="C6" s="7">
        <f>$B6 * IFERROR(VLOOKUP("electricity|SO2|Asthma symptoms cough", US_national_yearly!$D:$AM, 11, FALSE) / VLOOKUP("electricity|SO2|Asthma symptoms cough", US_national_yearly!$D:$AM, 10, FALSE), 1)</f>
        <v>1.9801787539524402E-2</v>
      </c>
      <c r="D6" s="7">
        <f>$B6 * IFERROR(VLOOKUP("electricity|SO2|Asthma symptoms cough", US_national_yearly!$D:$AM, 12, FALSE) / VLOOKUP("electricity|SO2|Asthma symptoms cough", US_national_yearly!$D:$AM, 10, FALSE), 1)</f>
        <v>1.9801787539524402E-2</v>
      </c>
      <c r="E6" s="7">
        <f>$B6 * IFERROR(VLOOKUP("electricity|SO2|Asthma symptoms cough", US_national_yearly!$D:$AM, 13, FALSE) / VLOOKUP("electricity|SO2|Asthma symptoms cough", US_national_yearly!$D:$AM, 10, FALSE), 1)</f>
        <v>1.9801787539524402E-2</v>
      </c>
      <c r="F6" s="7">
        <f>$B6 * IFERROR(VLOOKUP("electricity|SO2|Asthma symptoms cough", US_national_yearly!$D:$AM, 14, FALSE) / VLOOKUP("electricity|SO2|Asthma symptoms cough", US_national_yearly!$D:$AM, 10, FALSE), 1)</f>
        <v>1.9801787539524402E-2</v>
      </c>
      <c r="G6" s="7">
        <f>$B6 * IFERROR(VLOOKUP("electricity|SO2|Asthma symptoms cough", US_national_yearly!$D:$AM, 15, FALSE) / VLOOKUP("electricity|SO2|Asthma symptoms cough", US_national_yearly!$D:$AM, 10, FALSE), 1)</f>
        <v>1.9801787539524402E-2</v>
      </c>
      <c r="H6" s="7">
        <f>$B6 * IFERROR(VLOOKUP("electricity|SO2|Asthma symptoms cough", US_national_yearly!$D:$AM, 16, FALSE) / VLOOKUP("electricity|SO2|Asthma symptoms cough", US_national_yearly!$D:$AM, 10, FALSE), 1)</f>
        <v>1.9801787539524402E-2</v>
      </c>
      <c r="I6" s="7">
        <f>$B6 * IFERROR(VLOOKUP("electricity|SO2|Asthma symptoms cough", US_national_yearly!$D:$AM, 17, FALSE) / VLOOKUP("electricity|SO2|Asthma symptoms cough", US_national_yearly!$D:$AM, 10, FALSE), 1)</f>
        <v>1.9801787539524402E-2</v>
      </c>
      <c r="J6" s="7">
        <f>$B6 * IFERROR(VLOOKUP("electricity|SO2|Asthma symptoms cough", US_national_yearly!$D:$AM, 18, FALSE) / VLOOKUP("electricity|SO2|Asthma symptoms cough", US_national_yearly!$D:$AM, 10, FALSE), 1)</f>
        <v>1.9801787539524402E-2</v>
      </c>
      <c r="K6" s="7">
        <f>$B6 * IFERROR(VLOOKUP("electricity|SO2|Asthma symptoms cough", US_national_yearly!$D:$AM, 19, FALSE) / VLOOKUP("electricity|SO2|Asthma symptoms cough", US_national_yearly!$D:$AM, 10, FALSE), 1)</f>
        <v>1.9801787539524402E-2</v>
      </c>
      <c r="L6" s="7">
        <f>$B6 * IFERROR(VLOOKUP("electricity|SO2|Asthma symptoms cough", US_national_yearly!$D:$AM, 20, FALSE) / VLOOKUP("electricity|SO2|Asthma symptoms cough", US_national_yearly!$D:$AM, 10, FALSE), 1)</f>
        <v>1.9801787539524402E-2</v>
      </c>
      <c r="M6" s="7">
        <f>$B6 * IFERROR(VLOOKUP("electricity|SO2|Asthma symptoms cough", US_national_yearly!$D:$AM, 21, FALSE) / VLOOKUP("electricity|SO2|Asthma symptoms cough", US_national_yearly!$D:$AM, 10, FALSE), 1)</f>
        <v>1.9801787539524402E-2</v>
      </c>
      <c r="N6" s="7">
        <f>$B6 * IFERROR(VLOOKUP("electricity|SO2|Asthma symptoms cough", US_national_yearly!$D:$AM, 22, FALSE) / VLOOKUP("electricity|SO2|Asthma symptoms cough", US_national_yearly!$D:$AM, 10, FALSE), 1)</f>
        <v>1.9801787539524402E-2</v>
      </c>
      <c r="O6" s="7">
        <f>$B6 * IFERROR(VLOOKUP("electricity|SO2|Asthma symptoms cough", US_national_yearly!$D:$AM, 23, FALSE) / VLOOKUP("electricity|SO2|Asthma symptoms cough", US_national_yearly!$D:$AM, 10, FALSE), 1)</f>
        <v>1.9801787539524402E-2</v>
      </c>
      <c r="P6" s="7">
        <f>$B6 * IFERROR(VLOOKUP("electricity|SO2|Asthma symptoms cough", US_national_yearly!$D:$AM, 24, FALSE) / VLOOKUP("electricity|SO2|Asthma symptoms cough", US_national_yearly!$D:$AM, 10, FALSE), 1)</f>
        <v>1.9801787539524402E-2</v>
      </c>
      <c r="Q6" s="7">
        <f>$B6 * IFERROR(VLOOKUP("electricity|SO2|Asthma symptoms cough", US_national_yearly!$D:$AM, 25, FALSE) / VLOOKUP("electricity|SO2|Asthma symptoms cough", US_national_yearly!$D:$AM, 10, FALSE), 1)</f>
        <v>1.9801787539524402E-2</v>
      </c>
      <c r="R6" s="7">
        <f>$B6 * IFERROR(VLOOKUP("electricity|SO2|Asthma symptoms cough", US_national_yearly!$D:$AM, 26, FALSE) / VLOOKUP("electricity|SO2|Asthma symptoms cough", US_national_yearly!$D:$AM, 10, FALSE), 1)</f>
        <v>1.9801787539524402E-2</v>
      </c>
      <c r="S6" s="7">
        <f>$B6 * IFERROR(VLOOKUP("electricity|SO2|Asthma symptoms cough", US_national_yearly!$D:$AM, 27, FALSE) / VLOOKUP("electricity|SO2|Asthma symptoms cough", US_national_yearly!$D:$AM, 10, FALSE), 1)</f>
        <v>1.9801787539524402E-2</v>
      </c>
      <c r="T6" s="7">
        <f>$B6 * IFERROR(VLOOKUP("electricity|SO2|Asthma symptoms cough", US_national_yearly!$D:$AM, 28, FALSE) / VLOOKUP("electricity|SO2|Asthma symptoms cough", US_national_yearly!$D:$AM, 10, FALSE), 1)</f>
        <v>1.9801787539524402E-2</v>
      </c>
      <c r="U6" s="7">
        <f>$B6 * IFERROR(VLOOKUP("electricity|SO2|Asthma symptoms cough", US_national_yearly!$D:$AM, 29, FALSE) / VLOOKUP("electricity|SO2|Asthma symptoms cough", US_national_yearly!$D:$AM, 10, FALSE), 1)</f>
        <v>1.9801787539524402E-2</v>
      </c>
      <c r="V6" s="7">
        <f>$B6 * IFERROR(VLOOKUP("electricity|SO2|Asthma symptoms cough", US_national_yearly!$D:$AM, 30, FALSE) / VLOOKUP("electricity|SO2|Asthma symptoms cough", US_national_yearly!$D:$AM, 10, FALSE), 1)</f>
        <v>1.9801787539524402E-2</v>
      </c>
      <c r="W6" s="7">
        <f>$B6 * IFERROR(VLOOKUP("electricity|SO2|Asthma symptoms cough", US_national_yearly!$D:$AM, 31, FALSE) / VLOOKUP("electricity|SO2|Asthma symptoms cough", US_national_yearly!$D:$AM, 10, FALSE), 1)</f>
        <v>1.9801787539524402E-2</v>
      </c>
      <c r="X6" s="7">
        <f>$B6 * IFERROR(VLOOKUP("electricity|SO2|Asthma symptoms cough", US_national_yearly!$D:$AM, 32, FALSE) / VLOOKUP("electricity|SO2|Asthma symptoms cough", US_national_yearly!$D:$AM, 10, FALSE), 1)</f>
        <v>1.9801787539524402E-2</v>
      </c>
      <c r="Y6" s="7">
        <f>$B6 * IFERROR(VLOOKUP("electricity|SO2|Asthma symptoms cough", US_national_yearly!$D:$AM, 33, FALSE) / VLOOKUP("electricity|SO2|Asthma symptoms cough", US_national_yearly!$D:$AM, 10, FALSE), 1)</f>
        <v>1.9801787539524402E-2</v>
      </c>
      <c r="Z6" s="7">
        <f>$B6 * IFERROR(VLOOKUP("electricity|SO2|Asthma symptoms cough", US_national_yearly!$D:$AM, 34, FALSE) / VLOOKUP("electricity|SO2|Asthma symptoms cough", US_national_yearly!$D:$AM, 10, FALSE), 1)</f>
        <v>1.9801787539524402E-2</v>
      </c>
      <c r="AA6" s="7">
        <f>$B6 * IFERROR(VLOOKUP("electricity|SO2|Asthma symptoms cough", US_national_yearly!$D:$AM, 35, FALSE) / VLOOKUP("electricity|SO2|Asthma symptoms cough", US_national_yearly!$D:$AM, 10, FALSE), 1)</f>
        <v>1.9801787539524402E-2</v>
      </c>
      <c r="AB6" s="7">
        <f>$B6 * IFERROR(VLOOKUP("electricity|SO2|Asthma symptoms cough", US_national_yearly!$D:$AM, 36, FALSE) / VLOOKUP("electricity|SO2|Asthma symptoms cough", US_national_yearly!$D:$AM, 10, FALSE), 1)</f>
        <v>1.9801787539524402E-2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2.6665808563369135E-2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2.6665808563369135E-2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2.6665808563369135E-2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2.6665808563369135E-2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2.6665808563369135E-2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2.6665808563369135E-2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2.6665808563369135E-2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2.6665808563369135E-2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2.6665808563369135E-2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2.6665808563369135E-2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2.6665808563369135E-2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2.6665808563369135E-2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2.6665808563369135E-2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2.6665808563369135E-2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2.6665808563369135E-2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2.6665808563369135E-2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2.6665808563369135E-2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2.6665808563369135E-2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2.6665808563369135E-2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2.6665808563369135E-2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2.6665808563369135E-2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2.6665808563369135E-2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2.6665808563369135E-2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2.6665808563369135E-2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2.6665808563369135E-2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2.6665808563369135E-2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2.6665808563369135E-2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4.0741448606623376E-2</v>
      </c>
      <c r="C8" s="7">
        <f>$B8 * IFERROR(VLOOKUP("electricity|SO2|Asthma symptoms wheeze", US_national_yearly!$D:$AM, 11, FALSE) / VLOOKUP("electricity|SO2|Asthma symptoms wheeze", US_national_yearly!$D:$AM, 10, FALSE), 1)</f>
        <v>4.0741448606623376E-2</v>
      </c>
      <c r="D8" s="7">
        <f>$B8 * IFERROR(VLOOKUP("electricity|SO2|Asthma symptoms wheeze", US_national_yearly!$D:$AM, 12, FALSE) / VLOOKUP("electricity|SO2|Asthma symptoms wheeze", US_national_yearly!$D:$AM, 10, FALSE), 1)</f>
        <v>4.0741448606623376E-2</v>
      </c>
      <c r="E8" s="7">
        <f>$B8 * IFERROR(VLOOKUP("electricity|SO2|Asthma symptoms wheeze", US_national_yearly!$D:$AM, 13, FALSE) / VLOOKUP("electricity|SO2|Asthma symptoms wheeze", US_national_yearly!$D:$AM, 10, FALSE), 1)</f>
        <v>4.0741448606623376E-2</v>
      </c>
      <c r="F8" s="7">
        <f>$B8 * IFERROR(VLOOKUP("electricity|SO2|Asthma symptoms wheeze", US_national_yearly!$D:$AM, 14, FALSE) / VLOOKUP("electricity|SO2|Asthma symptoms wheeze", US_national_yearly!$D:$AM, 10, FALSE), 1)</f>
        <v>4.0741448606623376E-2</v>
      </c>
      <c r="G8" s="7">
        <f>$B8 * IFERROR(VLOOKUP("electricity|SO2|Asthma symptoms wheeze", US_national_yearly!$D:$AM, 15, FALSE) / VLOOKUP("electricity|SO2|Asthma symptoms wheeze", US_national_yearly!$D:$AM, 10, FALSE), 1)</f>
        <v>4.0741448606623376E-2</v>
      </c>
      <c r="H8" s="7">
        <f>$B8 * IFERROR(VLOOKUP("electricity|SO2|Asthma symptoms wheeze", US_national_yearly!$D:$AM, 16, FALSE) / VLOOKUP("electricity|SO2|Asthma symptoms wheeze", US_national_yearly!$D:$AM, 10, FALSE), 1)</f>
        <v>4.0741448606623376E-2</v>
      </c>
      <c r="I8" s="7">
        <f>$B8 * IFERROR(VLOOKUP("electricity|SO2|Asthma symptoms wheeze", US_national_yearly!$D:$AM, 17, FALSE) / VLOOKUP("electricity|SO2|Asthma symptoms wheeze", US_national_yearly!$D:$AM, 10, FALSE), 1)</f>
        <v>4.0741448606623376E-2</v>
      </c>
      <c r="J8" s="7">
        <f>$B8 * IFERROR(VLOOKUP("electricity|SO2|Asthma symptoms wheeze", US_national_yearly!$D:$AM, 18, FALSE) / VLOOKUP("electricity|SO2|Asthma symptoms wheeze", US_national_yearly!$D:$AM, 10, FALSE), 1)</f>
        <v>4.0741448606623376E-2</v>
      </c>
      <c r="K8" s="7">
        <f>$B8 * IFERROR(VLOOKUP("electricity|SO2|Asthma symptoms wheeze", US_national_yearly!$D:$AM, 19, FALSE) / VLOOKUP("electricity|SO2|Asthma symptoms wheeze", US_national_yearly!$D:$AM, 10, FALSE), 1)</f>
        <v>4.0741448606623376E-2</v>
      </c>
      <c r="L8" s="7">
        <f>$B8 * IFERROR(VLOOKUP("electricity|SO2|Asthma symptoms wheeze", US_national_yearly!$D:$AM, 20, FALSE) / VLOOKUP("electricity|SO2|Asthma symptoms wheeze", US_national_yearly!$D:$AM, 10, FALSE), 1)</f>
        <v>4.0741448606623376E-2</v>
      </c>
      <c r="M8" s="7">
        <f>$B8 * IFERROR(VLOOKUP("electricity|SO2|Asthma symptoms wheeze", US_national_yearly!$D:$AM, 21, FALSE) / VLOOKUP("electricity|SO2|Asthma symptoms wheeze", US_national_yearly!$D:$AM, 10, FALSE), 1)</f>
        <v>4.0741448606623376E-2</v>
      </c>
      <c r="N8" s="7">
        <f>$B8 * IFERROR(VLOOKUP("electricity|SO2|Asthma symptoms wheeze", US_national_yearly!$D:$AM, 22, FALSE) / VLOOKUP("electricity|SO2|Asthma symptoms wheeze", US_national_yearly!$D:$AM, 10, FALSE), 1)</f>
        <v>4.0741448606623376E-2</v>
      </c>
      <c r="O8" s="7">
        <f>$B8 * IFERROR(VLOOKUP("electricity|SO2|Asthma symptoms wheeze", US_national_yearly!$D:$AM, 23, FALSE) / VLOOKUP("electricity|SO2|Asthma symptoms wheeze", US_national_yearly!$D:$AM, 10, FALSE), 1)</f>
        <v>4.0741448606623376E-2</v>
      </c>
      <c r="P8" s="7">
        <f>$B8 * IFERROR(VLOOKUP("electricity|SO2|Asthma symptoms wheeze", US_national_yearly!$D:$AM, 24, FALSE) / VLOOKUP("electricity|SO2|Asthma symptoms wheeze", US_national_yearly!$D:$AM, 10, FALSE), 1)</f>
        <v>4.0741448606623376E-2</v>
      </c>
      <c r="Q8" s="7">
        <f>$B8 * IFERROR(VLOOKUP("electricity|SO2|Asthma symptoms wheeze", US_national_yearly!$D:$AM, 25, FALSE) / VLOOKUP("electricity|SO2|Asthma symptoms wheeze", US_national_yearly!$D:$AM, 10, FALSE), 1)</f>
        <v>4.0741448606623376E-2</v>
      </c>
      <c r="R8" s="7">
        <f>$B8 * IFERROR(VLOOKUP("electricity|SO2|Asthma symptoms wheeze", US_national_yearly!$D:$AM, 26, FALSE) / VLOOKUP("electricity|SO2|Asthma symptoms wheeze", US_national_yearly!$D:$AM, 10, FALSE), 1)</f>
        <v>4.0741448606623376E-2</v>
      </c>
      <c r="S8" s="7">
        <f>$B8 * IFERROR(VLOOKUP("electricity|SO2|Asthma symptoms wheeze", US_national_yearly!$D:$AM, 27, FALSE) / VLOOKUP("electricity|SO2|Asthma symptoms wheeze", US_national_yearly!$D:$AM, 10, FALSE), 1)</f>
        <v>4.0741448606623376E-2</v>
      </c>
      <c r="T8" s="7">
        <f>$B8 * IFERROR(VLOOKUP("electricity|SO2|Asthma symptoms wheeze", US_national_yearly!$D:$AM, 28, FALSE) / VLOOKUP("electricity|SO2|Asthma symptoms wheeze", US_national_yearly!$D:$AM, 10, FALSE), 1)</f>
        <v>4.0741448606623376E-2</v>
      </c>
      <c r="U8" s="7">
        <f>$B8 * IFERROR(VLOOKUP("electricity|SO2|Asthma symptoms wheeze", US_national_yearly!$D:$AM, 29, FALSE) / VLOOKUP("electricity|SO2|Asthma symptoms wheeze", US_national_yearly!$D:$AM, 10, FALSE), 1)</f>
        <v>4.0741448606623376E-2</v>
      </c>
      <c r="V8" s="7">
        <f>$B8 * IFERROR(VLOOKUP("electricity|SO2|Asthma symptoms wheeze", US_national_yearly!$D:$AM, 30, FALSE) / VLOOKUP("electricity|SO2|Asthma symptoms wheeze", US_national_yearly!$D:$AM, 10, FALSE), 1)</f>
        <v>4.0741448606623376E-2</v>
      </c>
      <c r="W8" s="7">
        <f>$B8 * IFERROR(VLOOKUP("electricity|SO2|Asthma symptoms wheeze", US_national_yearly!$D:$AM, 31, FALSE) / VLOOKUP("electricity|SO2|Asthma symptoms wheeze", US_national_yearly!$D:$AM, 10, FALSE), 1)</f>
        <v>4.0741448606623376E-2</v>
      </c>
      <c r="X8" s="7">
        <f>$B8 * IFERROR(VLOOKUP("electricity|SO2|Asthma symptoms wheeze", US_national_yearly!$D:$AM, 32, FALSE) / VLOOKUP("electricity|SO2|Asthma symptoms wheeze", US_national_yearly!$D:$AM, 10, FALSE), 1)</f>
        <v>4.0741448606623376E-2</v>
      </c>
      <c r="Y8" s="7">
        <f>$B8 * IFERROR(VLOOKUP("electricity|SO2|Asthma symptoms wheeze", US_national_yearly!$D:$AM, 33, FALSE) / VLOOKUP("electricity|SO2|Asthma symptoms wheeze", US_national_yearly!$D:$AM, 10, FALSE), 1)</f>
        <v>4.0741448606623376E-2</v>
      </c>
      <c r="Z8" s="7">
        <f>$B8 * IFERROR(VLOOKUP("electricity|SO2|Asthma symptoms wheeze", US_national_yearly!$D:$AM, 34, FALSE) / VLOOKUP("electricity|SO2|Asthma symptoms wheeze", US_national_yearly!$D:$AM, 10, FALSE), 1)</f>
        <v>4.0741448606623376E-2</v>
      </c>
      <c r="AA8" s="7">
        <f>$B8 * IFERROR(VLOOKUP("electricity|SO2|Asthma symptoms wheeze", US_national_yearly!$D:$AM, 35, FALSE) / VLOOKUP("electricity|SO2|Asthma symptoms wheeze", US_national_yearly!$D:$AM, 10, FALSE), 1)</f>
        <v>4.0741448606623376E-2</v>
      </c>
      <c r="AB8" s="7">
        <f>$B8 * IFERROR(VLOOKUP("electricity|SO2|Asthma symptoms wheeze", US_national_yearly!$D:$AM, 36, FALSE) / VLOOKUP("electricity|SO2|Asthma symptoms wheeze", US_national_yearly!$D:$AM, 10, FALSE), 1)</f>
        <v>4.0741448606623376E-2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8.9500252222835615E-4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9.0027375675433795E-4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9.0554499128031986E-4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9.1081622580630166E-4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9.1608746033228368E-4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9.2183150120859927E-4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9.2757554208491508E-4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9.3310139335257662E-4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9.3862724462023849E-4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9.4415309588790025E-4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9.496789471555619E-4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9.5520479842322367E-4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9.5916827272553436E-4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9.6313174702784539E-4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9.6709522133015609E-4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9.7105869563246679E-4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9.7502216993477781E-4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9.7876310625604336E-4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9.8250404257730923E-4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9.8624497889857488E-4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9.8998591521984075E-4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9.9372685154110662E-4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9.9731563253815871E-4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1.0009044135352112E-3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1.0044931945322637E-3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1.0080819755293158E-3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1.0116707565263683E-3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4.9970722646892436E-3</v>
      </c>
      <c r="C13" s="7">
        <f>$B13 * IFERROR(VLOOKUP("electricity|SO2|Non-fatal heart attacks", US_national_yearly!$D:$AM, 11, FALSE) / VLOOKUP("electricity|SO2|Non-fatal heart attacks", US_national_yearly!$D:$AM, 10, FALSE), 1)</f>
        <v>5.1442638741649033E-3</v>
      </c>
      <c r="D13" s="7">
        <f>$B13 * IFERROR(VLOOKUP("electricity|SO2|Non-fatal heart attacks", US_national_yearly!$D:$AM, 12, FALSE) / VLOOKUP("electricity|SO2|Non-fatal heart attacks", US_national_yearly!$D:$AM, 10, FALSE), 1)</f>
        <v>5.2914554836405612E-3</v>
      </c>
      <c r="E13" s="7">
        <f>$B13 * IFERROR(VLOOKUP("electricity|SO2|Non-fatal heart attacks", US_national_yearly!$D:$AM, 13, FALSE) / VLOOKUP("electricity|SO2|Non-fatal heart attacks", US_national_yearly!$D:$AM, 10, FALSE), 1)</f>
        <v>5.4386470931162218E-3</v>
      </c>
      <c r="F13" s="7">
        <f>$B13 * IFERROR(VLOOKUP("electricity|SO2|Non-fatal heart attacks", US_national_yearly!$D:$AM, 14, FALSE) / VLOOKUP("electricity|SO2|Non-fatal heart attacks", US_national_yearly!$D:$AM, 10, FALSE), 1)</f>
        <v>5.5858387025918806E-3</v>
      </c>
      <c r="G13" s="7">
        <f>$B13 * IFERROR(VLOOKUP("electricity|SO2|Non-fatal heart attacks", US_national_yearly!$D:$AM, 15, FALSE) / VLOOKUP("electricity|SO2|Non-fatal heart attacks", US_national_yearly!$D:$AM, 10, FALSE), 1)</f>
        <v>5.7255279561835128E-3</v>
      </c>
      <c r="H13" s="7">
        <f>$B13 * IFERROR(VLOOKUP("electricity|SO2|Non-fatal heart attacks", US_national_yearly!$D:$AM, 16, FALSE) / VLOOKUP("electricity|SO2|Non-fatal heart attacks", US_national_yearly!$D:$AM, 10, FALSE), 1)</f>
        <v>5.8652172097751467E-3</v>
      </c>
      <c r="I13" s="7">
        <f>$B13 * IFERROR(VLOOKUP("electricity|SO2|Non-fatal heart attacks", US_national_yearly!$D:$AM, 17, FALSE) / VLOOKUP("electricity|SO2|Non-fatal heart attacks", US_national_yearly!$D:$AM, 10, FALSE), 1)</f>
        <v>5.9789781177459998E-3</v>
      </c>
      <c r="J13" s="7">
        <f>$B13 * IFERROR(VLOOKUP("electricity|SO2|Non-fatal heart attacks", US_national_yearly!$D:$AM, 18, FALSE) / VLOOKUP("electricity|SO2|Non-fatal heart attacks", US_national_yearly!$D:$AM, 10, FALSE), 1)</f>
        <v>6.0927390257168521E-3</v>
      </c>
      <c r="K13" s="7">
        <f>$B13 * IFERROR(VLOOKUP("electricity|SO2|Non-fatal heart attacks", US_national_yearly!$D:$AM, 19, FALSE) / VLOOKUP("electricity|SO2|Non-fatal heart attacks", US_national_yearly!$D:$AM, 10, FALSE), 1)</f>
        <v>6.2064999336877051E-3</v>
      </c>
      <c r="L13" s="7">
        <f>$B13 * IFERROR(VLOOKUP("electricity|SO2|Non-fatal heart attacks", US_national_yearly!$D:$AM, 20, FALSE) / VLOOKUP("electricity|SO2|Non-fatal heart attacks", US_national_yearly!$D:$AM, 10, FALSE), 1)</f>
        <v>6.3202608416585574E-3</v>
      </c>
      <c r="M13" s="7">
        <f>$B13 * IFERROR(VLOOKUP("electricity|SO2|Non-fatal heart attacks", US_national_yearly!$D:$AM, 21, FALSE) / VLOOKUP("electricity|SO2|Non-fatal heart attacks", US_national_yearly!$D:$AM, 10, FALSE), 1)</f>
        <v>6.4340217496294105E-3</v>
      </c>
      <c r="N13" s="7">
        <f>$B13 * IFERROR(VLOOKUP("electricity|SO2|Non-fatal heart attacks", US_national_yearly!$D:$AM, 22, FALSE) / VLOOKUP("electricity|SO2|Non-fatal heart attacks", US_national_yearly!$D:$AM, 10, FALSE), 1)</f>
        <v>6.5090417127493683E-3</v>
      </c>
      <c r="O13" s="7">
        <f>$B13 * IFERROR(VLOOKUP("electricity|SO2|Non-fatal heart attacks", US_national_yearly!$D:$AM, 23, FALSE) / VLOOKUP("electricity|SO2|Non-fatal heart attacks", US_national_yearly!$D:$AM, 10, FALSE), 1)</f>
        <v>6.5840616758693253E-3</v>
      </c>
      <c r="P13" s="7">
        <f>$B13 * IFERROR(VLOOKUP("electricity|SO2|Non-fatal heart attacks", US_national_yearly!$D:$AM, 24, FALSE) / VLOOKUP("electricity|SO2|Non-fatal heart attacks", US_national_yearly!$D:$AM, 10, FALSE), 1)</f>
        <v>6.6590816389892841E-3</v>
      </c>
      <c r="Q13" s="7">
        <f>$B13 * IFERROR(VLOOKUP("electricity|SO2|Non-fatal heart attacks", US_national_yearly!$D:$AM, 25, FALSE) / VLOOKUP("electricity|SO2|Non-fatal heart attacks", US_national_yearly!$D:$AM, 10, FALSE), 1)</f>
        <v>6.734101602109242E-3</v>
      </c>
      <c r="R13" s="7">
        <f>$B13 * IFERROR(VLOOKUP("electricity|SO2|Non-fatal heart attacks", US_national_yearly!$D:$AM, 26, FALSE) / VLOOKUP("electricity|SO2|Non-fatal heart attacks", US_national_yearly!$D:$AM, 10, FALSE), 1)</f>
        <v>6.8091215652292007E-3</v>
      </c>
      <c r="S13" s="7">
        <f>$B13 * IFERROR(VLOOKUP("electricity|SO2|Non-fatal heart attacks", US_national_yearly!$D:$AM, 27, FALSE) / VLOOKUP("electricity|SO2|Non-fatal heart attacks", US_national_yearly!$D:$AM, 10, FALSE), 1)</f>
        <v>6.8499456439071373E-3</v>
      </c>
      <c r="T13" s="7">
        <f>$B13 * IFERROR(VLOOKUP("electricity|SO2|Non-fatal heart attacks", US_national_yearly!$D:$AM, 28, FALSE) / VLOOKUP("electricity|SO2|Non-fatal heart attacks", US_national_yearly!$D:$AM, 10, FALSE), 1)</f>
        <v>6.8907697225850757E-3</v>
      </c>
      <c r="U13" s="7">
        <f>$B13 * IFERROR(VLOOKUP("electricity|SO2|Non-fatal heart attacks", US_national_yearly!$D:$AM, 29, FALSE) / VLOOKUP("electricity|SO2|Non-fatal heart attacks", US_national_yearly!$D:$AM, 10, FALSE), 1)</f>
        <v>6.9315938012630141E-3</v>
      </c>
      <c r="V13" s="7">
        <f>$B13 * IFERROR(VLOOKUP("electricity|SO2|Non-fatal heart attacks", US_national_yearly!$D:$AM, 30, FALSE) / VLOOKUP("electricity|SO2|Non-fatal heart attacks", US_national_yearly!$D:$AM, 10, FALSE), 1)</f>
        <v>6.9724178799409507E-3</v>
      </c>
      <c r="W13" s="7">
        <f>$B13 * IFERROR(VLOOKUP("electricity|SO2|Non-fatal heart attacks", US_national_yearly!$D:$AM, 31, FALSE) / VLOOKUP("electricity|SO2|Non-fatal heart attacks", US_national_yearly!$D:$AM, 10, FALSE), 1)</f>
        <v>7.0132419586188882E-3</v>
      </c>
      <c r="X13" s="7">
        <f>$B13 * IFERROR(VLOOKUP("electricity|SO2|Non-fatal heart attacks", US_national_yearly!$D:$AM, 32, FALSE) / VLOOKUP("electricity|SO2|Non-fatal heart attacks", US_national_yearly!$D:$AM, 10, FALSE), 1)</f>
        <v>7.0446016664568838E-3</v>
      </c>
      <c r="Y13" s="7">
        <f>$B13 * IFERROR(VLOOKUP("electricity|SO2|Non-fatal heart attacks", US_national_yearly!$D:$AM, 33, FALSE) / VLOOKUP("electricity|SO2|Non-fatal heart attacks", US_national_yearly!$D:$AM, 10, FALSE), 1)</f>
        <v>7.0759613742948802E-3</v>
      </c>
      <c r="Z13" s="7">
        <f>$B13 * IFERROR(VLOOKUP("electricity|SO2|Non-fatal heart attacks", US_national_yearly!$D:$AM, 34, FALSE) / VLOOKUP("electricity|SO2|Non-fatal heart attacks", US_national_yearly!$D:$AM, 10, FALSE), 1)</f>
        <v>7.1073210821328749E-3</v>
      </c>
      <c r="AA13" s="7">
        <f>$B13 * IFERROR(VLOOKUP("electricity|SO2|Non-fatal heart attacks", US_national_yearly!$D:$AM, 35, FALSE) / VLOOKUP("electricity|SO2|Non-fatal heart attacks", US_national_yearly!$D:$AM, 10, FALSE), 1)</f>
        <v>7.1386807899708696E-3</v>
      </c>
      <c r="AB13" s="7">
        <f>$B13 * IFERROR(VLOOKUP("electricity|SO2|Non-fatal heart attacks", US_national_yearly!$D:$AM, 36, FALSE) / VLOOKUP("electricity|SO2|Non-fatal heart attacks", US_national_yearly!$D:$AM, 10, FALSE), 1)</f>
        <v>7.1700404978088652E-3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2.8177495844880194</v>
      </c>
      <c r="C14" s="7">
        <f>$B14 * IFERROR(VLOOKUP("electricity|SO2|Minor restricted activity days", US_national_yearly!$D:$AM, 11, FALSE) / VLOOKUP("electricity|SO2|Minor restricted activity days", US_national_yearly!$D:$AM, 10, FALSE), 1)</f>
        <v>2.8248304543998479</v>
      </c>
      <c r="D14" s="7">
        <f>$B14 * IFERROR(VLOOKUP("electricity|SO2|Minor restricted activity days", US_national_yearly!$D:$AM, 12, FALSE) / VLOOKUP("electricity|SO2|Minor restricted activity days", US_national_yearly!$D:$AM, 10, FALSE), 1)</f>
        <v>2.8319113243116765</v>
      </c>
      <c r="E14" s="7">
        <f>$B14 * IFERROR(VLOOKUP("electricity|SO2|Minor restricted activity days", US_national_yearly!$D:$AM, 13, FALSE) / VLOOKUP("electricity|SO2|Minor restricted activity days", US_national_yearly!$D:$AM, 10, FALSE), 1)</f>
        <v>2.8389921942235055</v>
      </c>
      <c r="F14" s="7">
        <f>$B14 * IFERROR(VLOOKUP("electricity|SO2|Minor restricted activity days", US_national_yearly!$D:$AM, 14, FALSE) / VLOOKUP("electricity|SO2|Minor restricted activity days", US_national_yearly!$D:$AM, 10, FALSE), 1)</f>
        <v>2.8460730641353331</v>
      </c>
      <c r="G14" s="7">
        <f>$B14 * IFERROR(VLOOKUP("electricity|SO2|Minor restricted activity days", US_national_yearly!$D:$AM, 15, FALSE) / VLOOKUP("electricity|SO2|Minor restricted activity days", US_national_yearly!$D:$AM, 10, FALSE), 1)</f>
        <v>2.8563033903201145</v>
      </c>
      <c r="H14" s="7">
        <f>$B14 * IFERROR(VLOOKUP("electricity|SO2|Minor restricted activity days", US_national_yearly!$D:$AM, 16, FALSE) / VLOOKUP("electricity|SO2|Minor restricted activity days", US_national_yearly!$D:$AM, 10, FALSE), 1)</f>
        <v>2.8665337165048954</v>
      </c>
      <c r="I14" s="7">
        <f>$B14 * IFERROR(VLOOKUP("electricity|SO2|Minor restricted activity days", US_national_yearly!$D:$AM, 17, FALSE) / VLOOKUP("electricity|SO2|Minor restricted activity days", US_national_yearly!$D:$AM, 10, FALSE), 1)</f>
        <v>2.8840795135567383</v>
      </c>
      <c r="J14" s="7">
        <f>$B14 * IFERROR(VLOOKUP("electricity|SO2|Minor restricted activity days", US_national_yearly!$D:$AM, 18, FALSE) / VLOOKUP("electricity|SO2|Minor restricted activity days", US_national_yearly!$D:$AM, 10, FALSE), 1)</f>
        <v>2.9016253106085816</v>
      </c>
      <c r="K14" s="7">
        <f>$B14 * IFERROR(VLOOKUP("electricity|SO2|Minor restricted activity days", US_national_yearly!$D:$AM, 19, FALSE) / VLOOKUP("electricity|SO2|Minor restricted activity days", US_national_yearly!$D:$AM, 10, FALSE), 1)</f>
        <v>2.9191711076604245</v>
      </c>
      <c r="L14" s="7">
        <f>$B14 * IFERROR(VLOOKUP("electricity|SO2|Minor restricted activity days", US_national_yearly!$D:$AM, 20, FALSE) / VLOOKUP("electricity|SO2|Minor restricted activity days", US_national_yearly!$D:$AM, 10, FALSE), 1)</f>
        <v>2.9367169047122688</v>
      </c>
      <c r="M14" s="7">
        <f>$B14 * IFERROR(VLOOKUP("electricity|SO2|Minor restricted activity days", US_national_yearly!$D:$AM, 21, FALSE) / VLOOKUP("electricity|SO2|Minor restricted activity days", US_national_yearly!$D:$AM, 10, FALSE), 1)</f>
        <v>2.9542627017641112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2.9784257987500324</v>
      </c>
      <c r="O14" s="7">
        <f>$B14 * IFERROR(VLOOKUP("electricity|SO2|Minor restricted activity days", US_national_yearly!$D:$AM, 23, FALSE) / VLOOKUP("electricity|SO2|Minor restricted activity days", US_national_yearly!$D:$AM, 10, FALSE), 1)</f>
        <v>3.0025888957359528</v>
      </c>
      <c r="P14" s="7">
        <f>$B14 * IFERROR(VLOOKUP("electricity|SO2|Minor restricted activity days", US_national_yearly!$D:$AM, 24, FALSE) / VLOOKUP("electricity|SO2|Minor restricted activity days", US_national_yearly!$D:$AM, 10, FALSE), 1)</f>
        <v>3.0267519927218731</v>
      </c>
      <c r="Q14" s="7">
        <f>$B14 * IFERROR(VLOOKUP("electricity|SO2|Minor restricted activity days", US_national_yearly!$D:$AM, 25, FALSE) / VLOOKUP("electricity|SO2|Minor restricted activity days", US_national_yearly!$D:$AM, 10, FALSE), 1)</f>
        <v>3.0509150897077939</v>
      </c>
      <c r="R14" s="7">
        <f>$B14 * IFERROR(VLOOKUP("electricity|SO2|Minor restricted activity days", US_national_yearly!$D:$AM, 26, FALSE) / VLOOKUP("electricity|SO2|Minor restricted activity days", US_national_yearly!$D:$AM, 10, FALSE), 1)</f>
        <v>3.0750781866937142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3.0998491706243767</v>
      </c>
      <c r="T14" s="7">
        <f>$B14 * IFERROR(VLOOKUP("electricity|SO2|Minor restricted activity days", US_national_yearly!$D:$AM, 28, FALSE) / VLOOKUP("electricity|SO2|Minor restricted activity days", US_national_yearly!$D:$AM, 10, FALSE), 1)</f>
        <v>3.1246201545550396</v>
      </c>
      <c r="U14" s="7">
        <f>$B14 * IFERROR(VLOOKUP("electricity|SO2|Minor restricted activity days", US_national_yearly!$D:$AM, 29, FALSE) / VLOOKUP("electricity|SO2|Minor restricted activity days", US_national_yearly!$D:$AM, 10, FALSE), 1)</f>
        <v>3.1493911384857012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3.1741621224163636</v>
      </c>
      <c r="W14" s="7">
        <f>$B14 * IFERROR(VLOOKUP("electricity|SO2|Minor restricted activity days", US_national_yearly!$D:$AM, 31, FALSE) / VLOOKUP("electricity|SO2|Minor restricted activity days", US_national_yearly!$D:$AM, 10, FALSE), 1)</f>
        <v>3.1989331063470261</v>
      </c>
      <c r="X14" s="7">
        <f>$B14 * IFERROR(VLOOKUP("electricity|SO2|Minor restricted activity days", US_national_yearly!$D:$AM, 32, FALSE) / VLOOKUP("electricity|SO2|Minor restricted activity days", US_national_yearly!$D:$AM, 10, FALSE), 1)</f>
        <v>3.2207288573695636</v>
      </c>
      <c r="Y14" s="7">
        <f>$B14 * IFERROR(VLOOKUP("electricity|SO2|Minor restricted activity days", US_national_yearly!$D:$AM, 33, FALSE) / VLOOKUP("electricity|SO2|Minor restricted activity days", US_national_yearly!$D:$AM, 10, FALSE), 1)</f>
        <v>3.2425246083921002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3.2643203594146368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3.2861161104371739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3.3079118614597105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0.47548702329791426</v>
      </c>
      <c r="C15" s="7">
        <f>$B15 * IFERROR(VLOOKUP("electricity|SO2|Work loss days", US_national_yearly!$D:$AM, 11, FALSE) / VLOOKUP("electricity|SO2|Work loss days", US_national_yearly!$D:$AM, 10, FALSE), 1)</f>
        <v>0.47702666465958876</v>
      </c>
      <c r="D15" s="7">
        <f>$B15 * IFERROR(VLOOKUP("electricity|SO2|Work loss days", US_national_yearly!$D:$AM, 12, FALSE) / VLOOKUP("electricity|SO2|Work loss days", US_national_yearly!$D:$AM, 10, FALSE), 1)</f>
        <v>0.47856630602126327</v>
      </c>
      <c r="E15" s="7">
        <f>$B15 * IFERROR(VLOOKUP("electricity|SO2|Work loss days", US_national_yearly!$D:$AM, 13, FALSE) / VLOOKUP("electricity|SO2|Work loss days", US_national_yearly!$D:$AM, 10, FALSE), 1)</f>
        <v>0.48010594738293783</v>
      </c>
      <c r="F15" s="7">
        <f>$B15 * IFERROR(VLOOKUP("electricity|SO2|Work loss days", US_national_yearly!$D:$AM, 14, FALSE) / VLOOKUP("electricity|SO2|Work loss days", US_national_yearly!$D:$AM, 10, FALSE), 1)</f>
        <v>0.48164558874461233</v>
      </c>
      <c r="G15" s="7">
        <f>$B15 * IFERROR(VLOOKUP("electricity|SO2|Work loss days", US_national_yearly!$D:$AM, 15, FALSE) / VLOOKUP("electricity|SO2|Work loss days", US_national_yearly!$D:$AM, 10, FALSE), 1)</f>
        <v>0.48361796473117535</v>
      </c>
      <c r="H15" s="7">
        <f>$B15 * IFERROR(VLOOKUP("electricity|SO2|Work loss days", US_national_yearly!$D:$AM, 16, FALSE) / VLOOKUP("electricity|SO2|Work loss days", US_national_yearly!$D:$AM, 10, FALSE), 1)</f>
        <v>0.48559034071773843</v>
      </c>
      <c r="I15" s="7">
        <f>$B15 * IFERROR(VLOOKUP("electricity|SO2|Work loss days", US_national_yearly!$D:$AM, 17, FALSE) / VLOOKUP("electricity|SO2|Work loss days", US_national_yearly!$D:$AM, 10, FALSE), 1)</f>
        <v>0.48847615879481115</v>
      </c>
      <c r="J15" s="7">
        <f>$B15 * IFERROR(VLOOKUP("electricity|SO2|Work loss days", US_national_yearly!$D:$AM, 18, FALSE) / VLOOKUP("electricity|SO2|Work loss days", US_national_yearly!$D:$AM, 10, FALSE), 1)</f>
        <v>0.49136197687188377</v>
      </c>
      <c r="K15" s="7">
        <f>$B15 * IFERROR(VLOOKUP("electricity|SO2|Work loss days", US_national_yearly!$D:$AM, 19, FALSE) / VLOOKUP("electricity|SO2|Work loss days", US_national_yearly!$D:$AM, 10, FALSE), 1)</f>
        <v>0.49424779494895665</v>
      </c>
      <c r="L15" s="7">
        <f>$B15 * IFERROR(VLOOKUP("electricity|SO2|Work loss days", US_national_yearly!$D:$AM, 20, FALSE) / VLOOKUP("electricity|SO2|Work loss days", US_national_yearly!$D:$AM, 10, FALSE), 1)</f>
        <v>0.49713361302602926</v>
      </c>
      <c r="M15" s="7">
        <f>$B15 * IFERROR(VLOOKUP("electricity|SO2|Work loss days", US_national_yearly!$D:$AM, 21, FALSE) / VLOOKUP("electricity|SO2|Work loss days", US_national_yearly!$D:$AM, 10, FALSE), 1)</f>
        <v>0.5000194311031021</v>
      </c>
      <c r="N15" s="7">
        <f>$B15 * IFERROR(VLOOKUP("electricity|SO2|Work loss days", US_national_yearly!$D:$AM, 22, FALSE) / VLOOKUP("electricity|SO2|Work loss days", US_national_yearly!$D:$AM, 10, FALSE), 1)</f>
        <v>0.50367070865693531</v>
      </c>
      <c r="O15" s="7">
        <f>$B15 * IFERROR(VLOOKUP("electricity|SO2|Work loss days", US_national_yearly!$D:$AM, 23, FALSE) / VLOOKUP("electricity|SO2|Work loss days", US_national_yearly!$D:$AM, 10, FALSE), 1)</f>
        <v>0.50732198621076863</v>
      </c>
      <c r="P15" s="7">
        <f>$B15 * IFERROR(VLOOKUP("electricity|SO2|Work loss days", US_national_yearly!$D:$AM, 24, FALSE) / VLOOKUP("electricity|SO2|Work loss days", US_national_yearly!$D:$AM, 10, FALSE), 1)</f>
        <v>0.51097326376460195</v>
      </c>
      <c r="Q15" s="7">
        <f>$B15 * IFERROR(VLOOKUP("electricity|SO2|Work loss days", US_national_yearly!$D:$AM, 25, FALSE) / VLOOKUP("electricity|SO2|Work loss days", US_national_yearly!$D:$AM, 10, FALSE), 1)</f>
        <v>0.51462454131843527</v>
      </c>
      <c r="R15" s="7">
        <f>$B15 * IFERROR(VLOOKUP("electricity|SO2|Work loss days", US_national_yearly!$D:$AM, 26, FALSE) / VLOOKUP("electricity|SO2|Work loss days", US_national_yearly!$D:$AM, 10, FALSE), 1)</f>
        <v>0.51827581887226859</v>
      </c>
      <c r="S15" s="7">
        <f>$B15 * IFERROR(VLOOKUP("electricity|SO2|Work loss days", US_national_yearly!$D:$AM, 27, FALSE) / VLOOKUP("electricity|SO2|Work loss days", US_national_yearly!$D:$AM, 10, FALSE), 1)</f>
        <v>0.52236924173661425</v>
      </c>
      <c r="T15" s="7">
        <f>$B15 * IFERROR(VLOOKUP("electricity|SO2|Work loss days", US_national_yearly!$D:$AM, 28, FALSE) / VLOOKUP("electricity|SO2|Work loss days", US_national_yearly!$D:$AM, 10, FALSE), 1)</f>
        <v>0.52646266460096014</v>
      </c>
      <c r="U15" s="7">
        <f>$B15 * IFERROR(VLOOKUP("electricity|SO2|Work loss days", US_national_yearly!$D:$AM, 29, FALSE) / VLOOKUP("electricity|SO2|Work loss days", US_national_yearly!$D:$AM, 10, FALSE), 1)</f>
        <v>0.53055608746530591</v>
      </c>
      <c r="V15" s="7">
        <f>$B15 * IFERROR(VLOOKUP("electricity|SO2|Work loss days", US_national_yearly!$D:$AM, 30, FALSE) / VLOOKUP("electricity|SO2|Work loss days", US_national_yearly!$D:$AM, 10, FALSE), 1)</f>
        <v>0.5346495103296518</v>
      </c>
      <c r="W15" s="7">
        <f>$B15 * IFERROR(VLOOKUP("electricity|SO2|Work loss days", US_national_yearly!$D:$AM, 31, FALSE) / VLOOKUP("electricity|SO2|Work loss days", US_national_yearly!$D:$AM, 10, FALSE), 1)</f>
        <v>0.53874293319399758</v>
      </c>
      <c r="X15" s="7">
        <f>$B15 * IFERROR(VLOOKUP("electricity|SO2|Work loss days", US_national_yearly!$D:$AM, 32, FALSE) / VLOOKUP("electricity|SO2|Work loss days", US_national_yearly!$D:$AM, 10, FALSE), 1)</f>
        <v>0.54243070233120849</v>
      </c>
      <c r="Y15" s="7">
        <f>$B15 * IFERROR(VLOOKUP("electricity|SO2|Work loss days", US_national_yearly!$D:$AM, 33, FALSE) / VLOOKUP("electricity|SO2|Work loss days", US_national_yearly!$D:$AM, 10, FALSE), 1)</f>
        <v>0.5461184714684193</v>
      </c>
      <c r="Z15" s="7">
        <f>$B15 * IFERROR(VLOOKUP("electricity|SO2|Work loss days", US_national_yearly!$D:$AM, 34, FALSE) / VLOOKUP("electricity|SO2|Work loss days", US_national_yearly!$D:$AM, 10, FALSE), 1)</f>
        <v>0.5498062406056301</v>
      </c>
      <c r="AA15" s="7">
        <f>$B15 * IFERROR(VLOOKUP("electricity|SO2|Work loss days", US_national_yearly!$D:$AM, 35, FALSE) / VLOOKUP("electricity|SO2|Work loss days", US_national_yearly!$D:$AM, 10, FALSE), 1)</f>
        <v>0.55349400974284091</v>
      </c>
      <c r="AB15" s="7">
        <f>$B15 * IFERROR(VLOOKUP("electricity|SO2|Work loss days", US_national_yearly!$D:$AM, 36, FALSE) / VLOOKUP("electricity|SO2|Work loss days", US_national_yearly!$D:$AM, 10, FALSE), 1)</f>
        <v>0.55718177888005183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1.3091328729419329E-3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1.3488032381484408E-3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1.3884736033549488E-3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1.4281439685614572E-3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1.4678143337679651E-3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1.5060540379698913E-3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1.5442937421718177E-3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1.5773994043367927E-3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1.6105050665017676E-3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1.6436107286667424E-3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1.676716390831717E-3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1.7098220529966921E-3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1.7324165791607394E-3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1.7550111053247866E-3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1.7776056314888343E-3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1.8002001576528815E-3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1.8227946838169288E-3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1.8351814169774933E-3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1.8475681501380573E-3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1.8599548832986216E-3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1.8723416164591856E-3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1.8847283496197496E-3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1.8932787606625865E-3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1.9018291717054227E-3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1.9103795827482594E-3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1.9189299937910958E-3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1.9274804048339325E-3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3.4860067079655395E-2</v>
      </c>
      <c r="C2" s="7">
        <f>$B2 * IFERROR(VLOOKUP("buildings|PM25|Premature mortality", US_national_yearly!$D:$AM, 11, FALSE) / VLOOKUP("buildings|PM25|Premature mortality", US_national_yearly!$D:$AM, 10, FALSE), 1)</f>
        <v>3.5292568556063129E-2</v>
      </c>
      <c r="D2" s="7">
        <f>$B2 * IFERROR(VLOOKUP("buildings|PM25|Premature mortality", US_national_yearly!$D:$AM, 12, FALSE) / VLOOKUP("buildings|PM25|Premature mortality", US_national_yearly!$D:$AM, 10, FALSE), 1)</f>
        <v>3.5725070032470864E-2</v>
      </c>
      <c r="E2" s="7">
        <f>$B2 * IFERROR(VLOOKUP("buildings|PM25|Premature mortality", US_national_yearly!$D:$AM, 13, FALSE) / VLOOKUP("buildings|PM25|Premature mortality", US_national_yearly!$D:$AM, 10, FALSE), 1)</f>
        <v>3.6157571508878605E-2</v>
      </c>
      <c r="F2" s="7">
        <f>$B2 * IFERROR(VLOOKUP("buildings|PM25|Premature mortality", US_national_yearly!$D:$AM, 14, FALSE) / VLOOKUP("buildings|PM25|Premature mortality", US_national_yearly!$D:$AM, 10, FALSE), 1)</f>
        <v>3.659007298528634E-2</v>
      </c>
      <c r="G2" s="7">
        <f>$B2 * IFERROR(VLOOKUP("buildings|PM25|Premature mortality", US_national_yearly!$D:$AM, 15, FALSE) / VLOOKUP("buildings|PM25|Premature mortality", US_national_yearly!$D:$AM, 10, FALSE), 1)</f>
        <v>3.7432242053395723E-2</v>
      </c>
      <c r="H2" s="7">
        <f>$B2 * IFERROR(VLOOKUP("buildings|PM25|Premature mortality", US_national_yearly!$D:$AM, 16, FALSE) / VLOOKUP("buildings|PM25|Premature mortality", US_national_yearly!$D:$AM, 10, FALSE), 1)</f>
        <v>3.8274411121505106E-2</v>
      </c>
      <c r="I2" s="7">
        <f>$B2 * IFERROR(VLOOKUP("buildings|PM25|Premature mortality", US_national_yearly!$D:$AM, 17, FALSE) / VLOOKUP("buildings|PM25|Premature mortality", US_national_yearly!$D:$AM, 10, FALSE), 1)</f>
        <v>3.882829121205069E-2</v>
      </c>
      <c r="J2" s="7">
        <f>$B2 * IFERROR(VLOOKUP("buildings|PM25|Premature mortality", US_national_yearly!$D:$AM, 18, FALSE) / VLOOKUP("buildings|PM25|Premature mortality", US_national_yearly!$D:$AM, 10, FALSE), 1)</f>
        <v>3.9382171302596275E-2</v>
      </c>
      <c r="K2" s="7">
        <f>$B2 * IFERROR(VLOOKUP("buildings|PM25|Premature mortality", US_national_yearly!$D:$AM, 19, FALSE) / VLOOKUP("buildings|PM25|Premature mortality", US_national_yearly!$D:$AM, 10, FALSE), 1)</f>
        <v>3.993605139314186E-2</v>
      </c>
      <c r="L2" s="7">
        <f>$B2 * IFERROR(VLOOKUP("buildings|PM25|Premature mortality", US_national_yearly!$D:$AM, 20, FALSE) / VLOOKUP("buildings|PM25|Premature mortality", US_national_yearly!$D:$AM, 10, FALSE), 1)</f>
        <v>4.0489931483687444E-2</v>
      </c>
      <c r="M2" s="7">
        <f>$B2 * IFERROR(VLOOKUP("buildings|PM25|Premature mortality", US_national_yearly!$D:$AM, 21, FALSE) / VLOOKUP("buildings|PM25|Premature mortality", US_national_yearly!$D:$AM, 10, FALSE), 1)</f>
        <v>4.1043811574233029E-2</v>
      </c>
      <c r="N2" s="7">
        <f>$B2 * IFERROR(VLOOKUP("buildings|PM25|Premature mortality", US_national_yearly!$D:$AM, 22, FALSE) / VLOOKUP("buildings|PM25|Premature mortality", US_national_yearly!$D:$AM, 10, FALSE), 1)</f>
        <v>4.147451490386922E-2</v>
      </c>
      <c r="O2" s="7">
        <f>$B2 * IFERROR(VLOOKUP("buildings|PM25|Premature mortality", US_national_yearly!$D:$AM, 23, FALSE) / VLOOKUP("buildings|PM25|Premature mortality", US_national_yearly!$D:$AM, 10, FALSE), 1)</f>
        <v>4.190521823350541E-2</v>
      </c>
      <c r="P2" s="7">
        <f>$B2 * IFERROR(VLOOKUP("buildings|PM25|Premature mortality", US_national_yearly!$D:$AM, 24, FALSE) / VLOOKUP("buildings|PM25|Premature mortality", US_national_yearly!$D:$AM, 10, FALSE), 1)</f>
        <v>4.2335921563141594E-2</v>
      </c>
      <c r="Q2" s="7">
        <f>$B2 * IFERROR(VLOOKUP("buildings|PM25|Premature mortality", US_national_yearly!$D:$AM, 25, FALSE) / VLOOKUP("buildings|PM25|Premature mortality", US_national_yearly!$D:$AM, 10, FALSE), 1)</f>
        <v>4.2766624892777799E-2</v>
      </c>
      <c r="R2" s="7">
        <f>$B2 * IFERROR(VLOOKUP("buildings|PM25|Premature mortality", US_national_yearly!$D:$AM, 26, FALSE) / VLOOKUP("buildings|PM25|Premature mortality", US_national_yearly!$D:$AM, 10, FALSE), 1)</f>
        <v>4.3197328222413983E-2</v>
      </c>
      <c r="S2" s="7">
        <f>$B2 * IFERROR(VLOOKUP("buildings|PM25|Premature mortality", US_national_yearly!$D:$AM, 27, FALSE) / VLOOKUP("buildings|PM25|Premature mortality", US_national_yearly!$D:$AM, 10, FALSE), 1)</f>
        <v>4.342625132023914E-2</v>
      </c>
      <c r="T2" s="7">
        <f>$B2 * IFERROR(VLOOKUP("buildings|PM25|Premature mortality", US_national_yearly!$D:$AM, 28, FALSE) / VLOOKUP("buildings|PM25|Premature mortality", US_national_yearly!$D:$AM, 10, FALSE), 1)</f>
        <v>4.3655174418064303E-2</v>
      </c>
      <c r="U2" s="7">
        <f>$B2 * IFERROR(VLOOKUP("buildings|PM25|Premature mortality", US_national_yearly!$D:$AM, 29, FALSE) / VLOOKUP("buildings|PM25|Premature mortality", US_national_yearly!$D:$AM, 10, FALSE), 1)</f>
        <v>4.3884097515889474E-2</v>
      </c>
      <c r="V2" s="7">
        <f>$B2 * IFERROR(VLOOKUP("buildings|PM25|Premature mortality", US_national_yearly!$D:$AM, 30, FALSE) / VLOOKUP("buildings|PM25|Premature mortality", US_national_yearly!$D:$AM, 10, FALSE), 1)</f>
        <v>4.4113020613714637E-2</v>
      </c>
      <c r="W2" s="7">
        <f>$B2 * IFERROR(VLOOKUP("buildings|PM25|Premature mortality", US_national_yearly!$D:$AM, 31, FALSE) / VLOOKUP("buildings|PM25|Premature mortality", US_national_yearly!$D:$AM, 10, FALSE), 1)</f>
        <v>4.4341943711539794E-2</v>
      </c>
      <c r="X2" s="7">
        <f>$B2 * IFERROR(VLOOKUP("buildings|PM25|Premature mortality", US_national_yearly!$D:$AM, 32, FALSE) / VLOOKUP("buildings|PM25|Premature mortality", US_national_yearly!$D:$AM, 10, FALSE), 1)</f>
        <v>4.4383033569766944E-2</v>
      </c>
      <c r="Y2" s="7">
        <f>$B2 * IFERROR(VLOOKUP("buildings|PM25|Premature mortality", US_national_yearly!$D:$AM, 33, FALSE) / VLOOKUP("buildings|PM25|Premature mortality", US_national_yearly!$D:$AM, 10, FALSE), 1)</f>
        <v>4.4424123427994081E-2</v>
      </c>
      <c r="Z2" s="7">
        <f>$B2 * IFERROR(VLOOKUP("buildings|PM25|Premature mortality", US_national_yearly!$D:$AM, 34, FALSE) / VLOOKUP("buildings|PM25|Premature mortality", US_national_yearly!$D:$AM, 10, FALSE), 1)</f>
        <v>4.4465213286221224E-2</v>
      </c>
      <c r="AA2" s="7">
        <f>$B2 * IFERROR(VLOOKUP("buildings|PM25|Premature mortality", US_national_yearly!$D:$AM, 35, FALSE) / VLOOKUP("buildings|PM25|Premature mortality", US_national_yearly!$D:$AM, 10, FALSE), 1)</f>
        <v>4.4506303144448374E-2</v>
      </c>
      <c r="AB2" s="7">
        <f>$B2 * IFERROR(VLOOKUP("buildings|PM25|Premature mortality", US_national_yearly!$D:$AM, 36, FALSE) / VLOOKUP("buildings|PM25|Premature mortality", US_national_yearly!$D:$AM, 10, FALSE), 1)</f>
        <v>4.454739300267551E-2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7.2279897821930805E-5</v>
      </c>
      <c r="C3" s="7">
        <f>$B3 * IFERROR(VLOOKUP("buildings|PM25|Infant mortality", US_national_yearly!$D:$AM, 11, FALSE) / VLOOKUP("buildings|PM25|Infant mortality", US_national_yearly!$D:$AM, 10, FALSE), 1)</f>
        <v>7.1653836983088075E-5</v>
      </c>
      <c r="D3" s="7">
        <f>$B3 * IFERROR(VLOOKUP("buildings|PM25|Infant mortality", US_national_yearly!$D:$AM, 12, FALSE) / VLOOKUP("buildings|PM25|Infant mortality", US_national_yearly!$D:$AM, 10, FALSE), 1)</f>
        <v>7.1027776144245332E-5</v>
      </c>
      <c r="E3" s="7">
        <f>$B3 * IFERROR(VLOOKUP("buildings|PM25|Infant mortality", US_national_yearly!$D:$AM, 13, FALSE) / VLOOKUP("buildings|PM25|Infant mortality", US_national_yearly!$D:$AM, 10, FALSE), 1)</f>
        <v>7.0401715305402603E-5</v>
      </c>
      <c r="F3" s="7">
        <f>$B3 * IFERROR(VLOOKUP("buildings|PM25|Infant mortality", US_national_yearly!$D:$AM, 14, FALSE) / VLOOKUP("buildings|PM25|Infant mortality", US_national_yearly!$D:$AM, 10, FALSE), 1)</f>
        <v>6.9775654466559873E-5</v>
      </c>
      <c r="G3" s="7">
        <f>$B3 * IFERROR(VLOOKUP("buildings|PM25|Infant mortality", US_national_yearly!$D:$AM, 15, FALSE) / VLOOKUP("buildings|PM25|Infant mortality", US_national_yearly!$D:$AM, 10, FALSE), 1)</f>
        <v>4.6398278817067685E-5</v>
      </c>
      <c r="H3" s="7">
        <f>$B3 * IFERROR(VLOOKUP("buildings|PM25|Infant mortality", US_national_yearly!$D:$AM, 16, FALSE) / VLOOKUP("buildings|PM25|Infant mortality", US_national_yearly!$D:$AM, 10, FALSE), 1)</f>
        <v>2.3020903167575497E-5</v>
      </c>
      <c r="I3" s="7">
        <f>$B3 * IFERROR(VLOOKUP("buildings|PM25|Infant mortality", US_national_yearly!$D:$AM, 17, FALSE) / VLOOKUP("buildings|PM25|Infant mortality", US_national_yearly!$D:$AM, 10, FALSE), 1)</f>
        <v>2.2870889624547372E-5</v>
      </c>
      <c r="J3" s="7">
        <f>$B3 * IFERROR(VLOOKUP("buildings|PM25|Infant mortality", US_national_yearly!$D:$AM, 18, FALSE) / VLOOKUP("buildings|PM25|Infant mortality", US_national_yearly!$D:$AM, 10, FALSE), 1)</f>
        <v>2.2720876081519243E-5</v>
      </c>
      <c r="K3" s="7">
        <f>$B3 * IFERROR(VLOOKUP("buildings|PM25|Infant mortality", US_national_yearly!$D:$AM, 19, FALSE) / VLOOKUP("buildings|PM25|Infant mortality", US_national_yearly!$D:$AM, 10, FALSE), 1)</f>
        <v>2.2570862538491114E-5</v>
      </c>
      <c r="L3" s="7">
        <f>$B3 * IFERROR(VLOOKUP("buildings|PM25|Infant mortality", US_national_yearly!$D:$AM, 20, FALSE) / VLOOKUP("buildings|PM25|Infant mortality", US_national_yearly!$D:$AM, 10, FALSE), 1)</f>
        <v>2.2420848995462984E-5</v>
      </c>
      <c r="M3" s="7">
        <f>$B3 * IFERROR(VLOOKUP("buildings|PM25|Infant mortality", US_national_yearly!$D:$AM, 21, FALSE) / VLOOKUP("buildings|PM25|Infant mortality", US_national_yearly!$D:$AM, 10, FALSE), 1)</f>
        <v>2.2270835452434859E-5</v>
      </c>
      <c r="N3" s="7">
        <f>$B3 * IFERROR(VLOOKUP("buildings|PM25|Infant mortality", US_national_yearly!$D:$AM, 22, FALSE) / VLOOKUP("buildings|PM25|Infant mortality", US_national_yearly!$D:$AM, 10, FALSE), 1)</f>
        <v>2.2176972622364497E-5</v>
      </c>
      <c r="O3" s="7">
        <f>$B3 * IFERROR(VLOOKUP("buildings|PM25|Infant mortality", US_national_yearly!$D:$AM, 23, FALSE) / VLOOKUP("buildings|PM25|Infant mortality", US_national_yearly!$D:$AM, 10, FALSE), 1)</f>
        <v>2.2083109792294134E-5</v>
      </c>
      <c r="P3" s="7">
        <f>$B3 * IFERROR(VLOOKUP("buildings|PM25|Infant mortality", US_national_yearly!$D:$AM, 24, FALSE) / VLOOKUP("buildings|PM25|Infant mortality", US_national_yearly!$D:$AM, 10, FALSE), 1)</f>
        <v>2.1989246962223772E-5</v>
      </c>
      <c r="Q3" s="7">
        <f>$B3 * IFERROR(VLOOKUP("buildings|PM25|Infant mortality", US_national_yearly!$D:$AM, 25, FALSE) / VLOOKUP("buildings|PM25|Infant mortality", US_national_yearly!$D:$AM, 10, FALSE), 1)</f>
        <v>2.189538413215341E-5</v>
      </c>
      <c r="R3" s="7">
        <f>$B3 * IFERROR(VLOOKUP("buildings|PM25|Infant mortality", US_national_yearly!$D:$AM, 26, FALSE) / VLOOKUP("buildings|PM25|Infant mortality", US_national_yearly!$D:$AM, 10, FALSE), 1)</f>
        <v>2.1801521302083051E-5</v>
      </c>
      <c r="S3" s="7">
        <f>$B3 * IFERROR(VLOOKUP("buildings|PM25|Infant mortality", US_national_yearly!$D:$AM, 27, FALSE) / VLOOKUP("buildings|PM25|Infant mortality", US_national_yearly!$D:$AM, 10, FALSE), 1)</f>
        <v>2.1684327104489668E-5</v>
      </c>
      <c r="T3" s="7">
        <f>$B3 * IFERROR(VLOOKUP("buildings|PM25|Infant mortality", US_national_yearly!$D:$AM, 28, FALSE) / VLOOKUP("buildings|PM25|Infant mortality", US_national_yearly!$D:$AM, 10, FALSE), 1)</f>
        <v>2.1567132906896289E-5</v>
      </c>
      <c r="U3" s="7">
        <f>$B3 * IFERROR(VLOOKUP("buildings|PM25|Infant mortality", US_national_yearly!$D:$AM, 29, FALSE) / VLOOKUP("buildings|PM25|Infant mortality", US_national_yearly!$D:$AM, 10, FALSE), 1)</f>
        <v>2.1449938709302903E-5</v>
      </c>
      <c r="V3" s="7">
        <f>$B3 * IFERROR(VLOOKUP("buildings|PM25|Infant mortality", US_national_yearly!$D:$AM, 30, FALSE) / VLOOKUP("buildings|PM25|Infant mortality", US_national_yearly!$D:$AM, 10, FALSE), 1)</f>
        <v>2.1332744511709524E-5</v>
      </c>
      <c r="W3" s="7">
        <f>$B3 * IFERROR(VLOOKUP("buildings|PM25|Infant mortality", US_national_yearly!$D:$AM, 31, FALSE) / VLOOKUP("buildings|PM25|Infant mortality", US_national_yearly!$D:$AM, 10, FALSE), 1)</f>
        <v>2.1215550314116142E-5</v>
      </c>
      <c r="X3" s="7">
        <f>$B3 * IFERROR(VLOOKUP("buildings|PM25|Infant mortality", US_national_yearly!$D:$AM, 32, FALSE) / VLOOKUP("buildings|PM25|Infant mortality", US_national_yearly!$D:$AM, 10, FALSE), 1)</f>
        <v>2.108937567120471E-5</v>
      </c>
      <c r="Y3" s="7">
        <f>$B3 * IFERROR(VLOOKUP("buildings|PM25|Infant mortality", US_national_yearly!$D:$AM, 33, FALSE) / VLOOKUP("buildings|PM25|Infant mortality", US_national_yearly!$D:$AM, 10, FALSE), 1)</f>
        <v>2.0963201028293281E-5</v>
      </c>
      <c r="Z3" s="7">
        <f>$B3 * IFERROR(VLOOKUP("buildings|PM25|Infant mortality", US_national_yearly!$D:$AM, 34, FALSE) / VLOOKUP("buildings|PM25|Infant mortality", US_national_yearly!$D:$AM, 10, FALSE), 1)</f>
        <v>2.0837026385381849E-5</v>
      </c>
      <c r="AA3" s="7">
        <f>$B3 * IFERROR(VLOOKUP("buildings|PM25|Infant mortality", US_national_yearly!$D:$AM, 35, FALSE) / VLOOKUP("buildings|PM25|Infant mortality", US_national_yearly!$D:$AM, 10, FALSE), 1)</f>
        <v>2.0710851742470414E-5</v>
      </c>
      <c r="AB3" s="7">
        <f>$B3 * IFERROR(VLOOKUP("buildings|PM25|Infant mortality", US_national_yearly!$D:$AM, 36, FALSE) / VLOOKUP("buildings|PM25|Infant mortality", US_national_yearly!$D:$AM, 10, FALSE), 1)</f>
        <v>2.0584677099558985E-5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7.6643635683517425E-2</v>
      </c>
      <c r="C6" s="7">
        <f>$B6 * IFERROR(VLOOKUP("buildings|PM25|Asthma symptoms cough", US_national_yearly!$D:$AM, 11, FALSE) / VLOOKUP("buildings|PM25|Asthma symptoms cough", US_national_yearly!$D:$AM, 10, FALSE), 1)</f>
        <v>7.6643635683517425E-2</v>
      </c>
      <c r="D6" s="7">
        <f>$B6 * IFERROR(VLOOKUP("buildings|PM25|Asthma symptoms cough", US_national_yearly!$D:$AM, 12, FALSE) / VLOOKUP("buildings|PM25|Asthma symptoms cough", US_national_yearly!$D:$AM, 10, FALSE), 1)</f>
        <v>7.6643635683517425E-2</v>
      </c>
      <c r="E6" s="7">
        <f>$B6 * IFERROR(VLOOKUP("buildings|PM25|Asthma symptoms cough", US_national_yearly!$D:$AM, 13, FALSE) / VLOOKUP("buildings|PM25|Asthma symptoms cough", US_national_yearly!$D:$AM, 10, FALSE), 1)</f>
        <v>7.6643635683517425E-2</v>
      </c>
      <c r="F6" s="7">
        <f>$B6 * IFERROR(VLOOKUP("buildings|PM25|Asthma symptoms cough", US_national_yearly!$D:$AM, 14, FALSE) / VLOOKUP("buildings|PM25|Asthma symptoms cough", US_national_yearly!$D:$AM, 10, FALSE), 1)</f>
        <v>7.6643635683517425E-2</v>
      </c>
      <c r="G6" s="7">
        <f>$B6 * IFERROR(VLOOKUP("buildings|PM25|Asthma symptoms cough", US_national_yearly!$D:$AM, 15, FALSE) / VLOOKUP("buildings|PM25|Asthma symptoms cough", US_national_yearly!$D:$AM, 10, FALSE), 1)</f>
        <v>7.6643635683517425E-2</v>
      </c>
      <c r="H6" s="7">
        <f>$B6 * IFERROR(VLOOKUP("buildings|PM25|Asthma symptoms cough", US_national_yearly!$D:$AM, 16, FALSE) / VLOOKUP("buildings|PM25|Asthma symptoms cough", US_national_yearly!$D:$AM, 10, FALSE), 1)</f>
        <v>7.6643635683517425E-2</v>
      </c>
      <c r="I6" s="7">
        <f>$B6 * IFERROR(VLOOKUP("buildings|PM25|Asthma symptoms cough", US_national_yearly!$D:$AM, 17, FALSE) / VLOOKUP("buildings|PM25|Asthma symptoms cough", US_national_yearly!$D:$AM, 10, FALSE), 1)</f>
        <v>7.6643635683517425E-2</v>
      </c>
      <c r="J6" s="7">
        <f>$B6 * IFERROR(VLOOKUP("buildings|PM25|Asthma symptoms cough", US_national_yearly!$D:$AM, 18, FALSE) / VLOOKUP("buildings|PM25|Asthma symptoms cough", US_national_yearly!$D:$AM, 10, FALSE), 1)</f>
        <v>7.6643635683517425E-2</v>
      </c>
      <c r="K6" s="7">
        <f>$B6 * IFERROR(VLOOKUP("buildings|PM25|Asthma symptoms cough", US_national_yearly!$D:$AM, 19, FALSE) / VLOOKUP("buildings|PM25|Asthma symptoms cough", US_national_yearly!$D:$AM, 10, FALSE), 1)</f>
        <v>7.6643635683517425E-2</v>
      </c>
      <c r="L6" s="7">
        <f>$B6 * IFERROR(VLOOKUP("buildings|PM25|Asthma symptoms cough", US_national_yearly!$D:$AM, 20, FALSE) / VLOOKUP("buildings|PM25|Asthma symptoms cough", US_national_yearly!$D:$AM, 10, FALSE), 1)</f>
        <v>7.6643635683517425E-2</v>
      </c>
      <c r="M6" s="7">
        <f>$B6 * IFERROR(VLOOKUP("buildings|PM25|Asthma symptoms cough", US_national_yearly!$D:$AM, 21, FALSE) / VLOOKUP("buildings|PM25|Asthma symptoms cough", US_national_yearly!$D:$AM, 10, FALSE), 1)</f>
        <v>7.6643635683517425E-2</v>
      </c>
      <c r="N6" s="7">
        <f>$B6 * IFERROR(VLOOKUP("buildings|PM25|Asthma symptoms cough", US_national_yearly!$D:$AM, 22, FALSE) / VLOOKUP("buildings|PM25|Asthma symptoms cough", US_national_yearly!$D:$AM, 10, FALSE), 1)</f>
        <v>7.6643635683517425E-2</v>
      </c>
      <c r="O6" s="7">
        <f>$B6 * IFERROR(VLOOKUP("buildings|PM25|Asthma symptoms cough", US_national_yearly!$D:$AM, 23, FALSE) / VLOOKUP("buildings|PM25|Asthma symptoms cough", US_national_yearly!$D:$AM, 10, FALSE), 1)</f>
        <v>7.6643635683517425E-2</v>
      </c>
      <c r="P6" s="7">
        <f>$B6 * IFERROR(VLOOKUP("buildings|PM25|Asthma symptoms cough", US_national_yearly!$D:$AM, 24, FALSE) / VLOOKUP("buildings|PM25|Asthma symptoms cough", US_national_yearly!$D:$AM, 10, FALSE), 1)</f>
        <v>7.6643635683517425E-2</v>
      </c>
      <c r="Q6" s="7">
        <f>$B6 * IFERROR(VLOOKUP("buildings|PM25|Asthma symptoms cough", US_national_yearly!$D:$AM, 25, FALSE) / VLOOKUP("buildings|PM25|Asthma symptoms cough", US_national_yearly!$D:$AM, 10, FALSE), 1)</f>
        <v>7.6643635683517425E-2</v>
      </c>
      <c r="R6" s="7">
        <f>$B6 * IFERROR(VLOOKUP("buildings|PM25|Asthma symptoms cough", US_national_yearly!$D:$AM, 26, FALSE) / VLOOKUP("buildings|PM25|Asthma symptoms cough", US_national_yearly!$D:$AM, 10, FALSE), 1)</f>
        <v>7.6643635683517425E-2</v>
      </c>
      <c r="S6" s="7">
        <f>$B6 * IFERROR(VLOOKUP("buildings|PM25|Asthma symptoms cough", US_national_yearly!$D:$AM, 27, FALSE) / VLOOKUP("buildings|PM25|Asthma symptoms cough", US_national_yearly!$D:$AM, 10, FALSE), 1)</f>
        <v>7.6643635683517425E-2</v>
      </c>
      <c r="T6" s="7">
        <f>$B6 * IFERROR(VLOOKUP("buildings|PM25|Asthma symptoms cough", US_national_yearly!$D:$AM, 28, FALSE) / VLOOKUP("buildings|PM25|Asthma symptoms cough", US_national_yearly!$D:$AM, 10, FALSE), 1)</f>
        <v>7.6643635683517425E-2</v>
      </c>
      <c r="U6" s="7">
        <f>$B6 * IFERROR(VLOOKUP("buildings|PM25|Asthma symptoms cough", US_national_yearly!$D:$AM, 29, FALSE) / VLOOKUP("buildings|PM25|Asthma symptoms cough", US_national_yearly!$D:$AM, 10, FALSE), 1)</f>
        <v>7.6643635683517425E-2</v>
      </c>
      <c r="V6" s="7">
        <f>$B6 * IFERROR(VLOOKUP("buildings|PM25|Asthma symptoms cough", US_national_yearly!$D:$AM, 30, FALSE) / VLOOKUP("buildings|PM25|Asthma symptoms cough", US_national_yearly!$D:$AM, 10, FALSE), 1)</f>
        <v>7.6643635683517425E-2</v>
      </c>
      <c r="W6" s="7">
        <f>$B6 * IFERROR(VLOOKUP("buildings|PM25|Asthma symptoms cough", US_national_yearly!$D:$AM, 31, FALSE) / VLOOKUP("buildings|PM25|Asthma symptoms cough", US_national_yearly!$D:$AM, 10, FALSE), 1)</f>
        <v>7.6643635683517425E-2</v>
      </c>
      <c r="X6" s="7">
        <f>$B6 * IFERROR(VLOOKUP("buildings|PM25|Asthma symptoms cough", US_national_yearly!$D:$AM, 32, FALSE) / VLOOKUP("buildings|PM25|Asthma symptoms cough", US_national_yearly!$D:$AM, 10, FALSE), 1)</f>
        <v>7.6643635683517425E-2</v>
      </c>
      <c r="Y6" s="7">
        <f>$B6 * IFERROR(VLOOKUP("buildings|PM25|Asthma symptoms cough", US_national_yearly!$D:$AM, 33, FALSE) / VLOOKUP("buildings|PM25|Asthma symptoms cough", US_national_yearly!$D:$AM, 10, FALSE), 1)</f>
        <v>7.6643635683517425E-2</v>
      </c>
      <c r="Z6" s="7">
        <f>$B6 * IFERROR(VLOOKUP("buildings|PM25|Asthma symptoms cough", US_national_yearly!$D:$AM, 34, FALSE) / VLOOKUP("buildings|PM25|Asthma symptoms cough", US_national_yearly!$D:$AM, 10, FALSE), 1)</f>
        <v>7.6643635683517425E-2</v>
      </c>
      <c r="AA6" s="7">
        <f>$B6 * IFERROR(VLOOKUP("buildings|PM25|Asthma symptoms cough", US_national_yearly!$D:$AM, 35, FALSE) / VLOOKUP("buildings|PM25|Asthma symptoms cough", US_national_yearly!$D:$AM, 10, FALSE), 1)</f>
        <v>7.6643635683517425E-2</v>
      </c>
      <c r="AB6" s="7">
        <f>$B6 * IFERROR(VLOOKUP("buildings|PM25|Asthma symptoms cough", US_national_yearly!$D:$AM, 36, FALSE) / VLOOKUP("buildings|PM25|Asthma symptoms cough", US_national_yearly!$D:$AM, 10, FALSE), 1)</f>
        <v>7.6643635683517425E-2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0.10321189491982401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0.10321189491982401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0.10321189491982401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0.10321189491982401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0.10321189491982401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0.10321189491982401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0.10321189491982401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0.10321189491982401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0.10321189491982401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0.10321189491982401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0.10321189491982401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0.10321189491982401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0.10321189491982401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0.10321189491982401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0.10321189491982401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0.10321189491982401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0.10321189491982401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0.10321189491982401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0.10321189491982401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0.10321189491982401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0.10321189491982401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0.10321189491982401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0.10321189491982401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0.10321189491982401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0.10321189491982401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0.10321189491982401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0.10321189491982401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0.15768986226376838</v>
      </c>
      <c r="C8" s="7">
        <f>$B8 * IFERROR(VLOOKUP("buildings|PM25|Asthma symptoms wheeze", US_national_yearly!$D:$AM, 11, FALSE) / VLOOKUP("buildings|PM25|Asthma symptoms wheeze", US_national_yearly!$D:$AM, 10, FALSE), 1)</f>
        <v>0.15768986226376838</v>
      </c>
      <c r="D8" s="7">
        <f>$B8 * IFERROR(VLOOKUP("buildings|PM25|Asthma symptoms wheeze", US_national_yearly!$D:$AM, 12, FALSE) / VLOOKUP("buildings|PM25|Asthma symptoms wheeze", US_national_yearly!$D:$AM, 10, FALSE), 1)</f>
        <v>0.15768986226376838</v>
      </c>
      <c r="E8" s="7">
        <f>$B8 * IFERROR(VLOOKUP("buildings|PM25|Asthma symptoms wheeze", US_national_yearly!$D:$AM, 13, FALSE) / VLOOKUP("buildings|PM25|Asthma symptoms wheeze", US_national_yearly!$D:$AM, 10, FALSE), 1)</f>
        <v>0.15768986226376838</v>
      </c>
      <c r="F8" s="7">
        <f>$B8 * IFERROR(VLOOKUP("buildings|PM25|Asthma symptoms wheeze", US_national_yearly!$D:$AM, 14, FALSE) / VLOOKUP("buildings|PM25|Asthma symptoms wheeze", US_national_yearly!$D:$AM, 10, FALSE), 1)</f>
        <v>0.15768986226376838</v>
      </c>
      <c r="G8" s="7">
        <f>$B8 * IFERROR(VLOOKUP("buildings|PM25|Asthma symptoms wheeze", US_national_yearly!$D:$AM, 15, FALSE) / VLOOKUP("buildings|PM25|Asthma symptoms wheeze", US_national_yearly!$D:$AM, 10, FALSE), 1)</f>
        <v>0.15768986226376838</v>
      </c>
      <c r="H8" s="7">
        <f>$B8 * IFERROR(VLOOKUP("buildings|PM25|Asthma symptoms wheeze", US_national_yearly!$D:$AM, 16, FALSE) / VLOOKUP("buildings|PM25|Asthma symptoms wheeze", US_national_yearly!$D:$AM, 10, FALSE), 1)</f>
        <v>0.15768986226376838</v>
      </c>
      <c r="I8" s="7">
        <f>$B8 * IFERROR(VLOOKUP("buildings|PM25|Asthma symptoms wheeze", US_national_yearly!$D:$AM, 17, FALSE) / VLOOKUP("buildings|PM25|Asthma symptoms wheeze", US_national_yearly!$D:$AM, 10, FALSE), 1)</f>
        <v>0.15768986226376838</v>
      </c>
      <c r="J8" s="7">
        <f>$B8 * IFERROR(VLOOKUP("buildings|PM25|Asthma symptoms wheeze", US_national_yearly!$D:$AM, 18, FALSE) / VLOOKUP("buildings|PM25|Asthma symptoms wheeze", US_national_yearly!$D:$AM, 10, FALSE), 1)</f>
        <v>0.15768986226376838</v>
      </c>
      <c r="K8" s="7">
        <f>$B8 * IFERROR(VLOOKUP("buildings|PM25|Asthma symptoms wheeze", US_national_yearly!$D:$AM, 19, FALSE) / VLOOKUP("buildings|PM25|Asthma symptoms wheeze", US_national_yearly!$D:$AM, 10, FALSE), 1)</f>
        <v>0.15768986226376838</v>
      </c>
      <c r="L8" s="7">
        <f>$B8 * IFERROR(VLOOKUP("buildings|PM25|Asthma symptoms wheeze", US_national_yearly!$D:$AM, 20, FALSE) / VLOOKUP("buildings|PM25|Asthma symptoms wheeze", US_national_yearly!$D:$AM, 10, FALSE), 1)</f>
        <v>0.15768986226376838</v>
      </c>
      <c r="M8" s="7">
        <f>$B8 * IFERROR(VLOOKUP("buildings|PM25|Asthma symptoms wheeze", US_national_yearly!$D:$AM, 21, FALSE) / VLOOKUP("buildings|PM25|Asthma symptoms wheeze", US_national_yearly!$D:$AM, 10, FALSE), 1)</f>
        <v>0.15768986226376838</v>
      </c>
      <c r="N8" s="7">
        <f>$B8 * IFERROR(VLOOKUP("buildings|PM25|Asthma symptoms wheeze", US_national_yearly!$D:$AM, 22, FALSE) / VLOOKUP("buildings|PM25|Asthma symptoms wheeze", US_national_yearly!$D:$AM, 10, FALSE), 1)</f>
        <v>0.15768986226376838</v>
      </c>
      <c r="O8" s="7">
        <f>$B8 * IFERROR(VLOOKUP("buildings|PM25|Asthma symptoms wheeze", US_national_yearly!$D:$AM, 23, FALSE) / VLOOKUP("buildings|PM25|Asthma symptoms wheeze", US_national_yearly!$D:$AM, 10, FALSE), 1)</f>
        <v>0.15768986226376838</v>
      </c>
      <c r="P8" s="7">
        <f>$B8 * IFERROR(VLOOKUP("buildings|PM25|Asthma symptoms wheeze", US_national_yearly!$D:$AM, 24, FALSE) / VLOOKUP("buildings|PM25|Asthma symptoms wheeze", US_national_yearly!$D:$AM, 10, FALSE), 1)</f>
        <v>0.15768986226376838</v>
      </c>
      <c r="Q8" s="7">
        <f>$B8 * IFERROR(VLOOKUP("buildings|PM25|Asthma symptoms wheeze", US_national_yearly!$D:$AM, 25, FALSE) / VLOOKUP("buildings|PM25|Asthma symptoms wheeze", US_national_yearly!$D:$AM, 10, FALSE), 1)</f>
        <v>0.15768986226376838</v>
      </c>
      <c r="R8" s="7">
        <f>$B8 * IFERROR(VLOOKUP("buildings|PM25|Asthma symptoms wheeze", US_national_yearly!$D:$AM, 26, FALSE) / VLOOKUP("buildings|PM25|Asthma symptoms wheeze", US_national_yearly!$D:$AM, 10, FALSE), 1)</f>
        <v>0.15768986226376838</v>
      </c>
      <c r="S8" s="7">
        <f>$B8 * IFERROR(VLOOKUP("buildings|PM25|Asthma symptoms wheeze", US_national_yearly!$D:$AM, 27, FALSE) / VLOOKUP("buildings|PM25|Asthma symptoms wheeze", US_national_yearly!$D:$AM, 10, FALSE), 1)</f>
        <v>0.15768986226376838</v>
      </c>
      <c r="T8" s="7">
        <f>$B8 * IFERROR(VLOOKUP("buildings|PM25|Asthma symptoms wheeze", US_national_yearly!$D:$AM, 28, FALSE) / VLOOKUP("buildings|PM25|Asthma symptoms wheeze", US_national_yearly!$D:$AM, 10, FALSE), 1)</f>
        <v>0.15768986226376838</v>
      </c>
      <c r="U8" s="7">
        <f>$B8 * IFERROR(VLOOKUP("buildings|PM25|Asthma symptoms wheeze", US_national_yearly!$D:$AM, 29, FALSE) / VLOOKUP("buildings|PM25|Asthma symptoms wheeze", US_national_yearly!$D:$AM, 10, FALSE), 1)</f>
        <v>0.15768986226376838</v>
      </c>
      <c r="V8" s="7">
        <f>$B8 * IFERROR(VLOOKUP("buildings|PM25|Asthma symptoms wheeze", US_national_yearly!$D:$AM, 30, FALSE) / VLOOKUP("buildings|PM25|Asthma symptoms wheeze", US_national_yearly!$D:$AM, 10, FALSE), 1)</f>
        <v>0.15768986226376838</v>
      </c>
      <c r="W8" s="7">
        <f>$B8 * IFERROR(VLOOKUP("buildings|PM25|Asthma symptoms wheeze", US_national_yearly!$D:$AM, 31, FALSE) / VLOOKUP("buildings|PM25|Asthma symptoms wheeze", US_national_yearly!$D:$AM, 10, FALSE), 1)</f>
        <v>0.15768986226376838</v>
      </c>
      <c r="X8" s="7">
        <f>$B8 * IFERROR(VLOOKUP("buildings|PM25|Asthma symptoms wheeze", US_national_yearly!$D:$AM, 32, FALSE) / VLOOKUP("buildings|PM25|Asthma symptoms wheeze", US_national_yearly!$D:$AM, 10, FALSE), 1)</f>
        <v>0.15768986226376838</v>
      </c>
      <c r="Y8" s="7">
        <f>$B8 * IFERROR(VLOOKUP("buildings|PM25|Asthma symptoms wheeze", US_national_yearly!$D:$AM, 33, FALSE) / VLOOKUP("buildings|PM25|Asthma symptoms wheeze", US_national_yearly!$D:$AM, 10, FALSE), 1)</f>
        <v>0.15768986226376838</v>
      </c>
      <c r="Z8" s="7">
        <f>$B8 * IFERROR(VLOOKUP("buildings|PM25|Asthma symptoms wheeze", US_national_yearly!$D:$AM, 34, FALSE) / VLOOKUP("buildings|PM25|Asthma symptoms wheeze", US_national_yearly!$D:$AM, 10, FALSE), 1)</f>
        <v>0.15768986226376838</v>
      </c>
      <c r="AA8" s="7">
        <f>$B8 * IFERROR(VLOOKUP("buildings|PM25|Asthma symptoms wheeze", US_national_yearly!$D:$AM, 35, FALSE) / VLOOKUP("buildings|PM25|Asthma symptoms wheeze", US_national_yearly!$D:$AM, 10, FALSE), 1)</f>
        <v>0.15768986226376838</v>
      </c>
      <c r="AB8" s="7">
        <f>$B8 * IFERROR(VLOOKUP("buildings|PM25|Asthma symptoms wheeze", US_national_yearly!$D:$AM, 36, FALSE) / VLOOKUP("buildings|PM25|Asthma symptoms wheeze", US_national_yearly!$D:$AM, 10, FALSE), 1)</f>
        <v>0.15768986226376838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3.1029946535906182E-3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3.1208808307004632E-3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3.1387670078103086E-3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3.1566531849201544E-3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3.1745393620299998E-3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3.1938402042559744E-3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3.2131410464819486E-3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3.2314978927807658E-3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3.2498547390795818E-3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3.2682115853783981E-3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3.2865684316772149E-3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3.3049252779760313E-3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3.318128823245389E-3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3.3313323685147471E-3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3.3445359137841053E-3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3.3577394590534626E-3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3.3709430043228207E-3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3.3835229845723264E-3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3.3961029648218333E-3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3.408682945071339E-3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3.4212629253208447E-3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3.4338429055703517E-3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3.445993172338548E-3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3.4581434391067452E-3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3.4702937058749416E-3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3.4824439726431383E-3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3.4945942394113347E-3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1.8136584671100756E-2</v>
      </c>
      <c r="C13" s="7">
        <f>$B13 * IFERROR(VLOOKUP("buildings|PM25|Non-fatal heart attacks", US_national_yearly!$D:$AM, 11, FALSE) / VLOOKUP("buildings|PM25|Non-fatal heart attacks", US_national_yearly!$D:$AM, 10, FALSE), 1)</f>
        <v>1.8664112900035539E-2</v>
      </c>
      <c r="D13" s="7">
        <f>$B13 * IFERROR(VLOOKUP("buildings|PM25|Non-fatal heart attacks", US_national_yearly!$D:$AM, 12, FALSE) / VLOOKUP("buildings|PM25|Non-fatal heart attacks", US_national_yearly!$D:$AM, 10, FALSE), 1)</f>
        <v>1.9191641128970316E-2</v>
      </c>
      <c r="E13" s="7">
        <f>$B13 * IFERROR(VLOOKUP("buildings|PM25|Non-fatal heart attacks", US_national_yearly!$D:$AM, 13, FALSE) / VLOOKUP("buildings|PM25|Non-fatal heart attacks", US_national_yearly!$D:$AM, 10, FALSE), 1)</f>
        <v>1.9719169357905096E-2</v>
      </c>
      <c r="F13" s="7">
        <f>$B13 * IFERROR(VLOOKUP("buildings|PM25|Non-fatal heart attacks", US_national_yearly!$D:$AM, 14, FALSE) / VLOOKUP("buildings|PM25|Non-fatal heart attacks", US_national_yearly!$D:$AM, 10, FALSE), 1)</f>
        <v>2.0246697586839876E-2</v>
      </c>
      <c r="G13" s="7">
        <f>$B13 * IFERROR(VLOOKUP("buildings|PM25|Non-fatal heart attacks", US_national_yearly!$D:$AM, 15, FALSE) / VLOOKUP("buildings|PM25|Non-fatal heart attacks", US_national_yearly!$D:$AM, 10, FALSE), 1)</f>
        <v>2.0744450600703273E-2</v>
      </c>
      <c r="H13" s="7">
        <f>$B13 * IFERROR(VLOOKUP("buildings|PM25|Non-fatal heart attacks", US_national_yearly!$D:$AM, 16, FALSE) / VLOOKUP("buildings|PM25|Non-fatal heart attacks", US_national_yearly!$D:$AM, 10, FALSE), 1)</f>
        <v>2.1242203614566659E-2</v>
      </c>
      <c r="I13" s="7">
        <f>$B13 * IFERROR(VLOOKUP("buildings|PM25|Non-fatal heart attacks", US_national_yearly!$D:$AM, 17, FALSE) / VLOOKUP("buildings|PM25|Non-fatal heart attacks", US_national_yearly!$D:$AM, 10, FALSE), 1)</f>
        <v>2.164268457411974E-2</v>
      </c>
      <c r="J13" s="7">
        <f>$B13 * IFERROR(VLOOKUP("buildings|PM25|Non-fatal heart attacks", US_national_yearly!$D:$AM, 18, FALSE) / VLOOKUP("buildings|PM25|Non-fatal heart attacks", US_national_yearly!$D:$AM, 10, FALSE), 1)</f>
        <v>2.2043165533672818E-2</v>
      </c>
      <c r="K13" s="7">
        <f>$B13 * IFERROR(VLOOKUP("buildings|PM25|Non-fatal heart attacks", US_national_yearly!$D:$AM, 19, FALSE) / VLOOKUP("buildings|PM25|Non-fatal heart attacks", US_national_yearly!$D:$AM, 10, FALSE), 1)</f>
        <v>2.2443646493225888E-2</v>
      </c>
      <c r="L13" s="7">
        <f>$B13 * IFERROR(VLOOKUP("buildings|PM25|Non-fatal heart attacks", US_national_yearly!$D:$AM, 20, FALSE) / VLOOKUP("buildings|PM25|Non-fatal heart attacks", US_national_yearly!$D:$AM, 10, FALSE), 1)</f>
        <v>2.2844127452778962E-2</v>
      </c>
      <c r="M13" s="7">
        <f>$B13 * IFERROR(VLOOKUP("buildings|PM25|Non-fatal heart attacks", US_national_yearly!$D:$AM, 21, FALSE) / VLOOKUP("buildings|PM25|Non-fatal heart attacks", US_national_yearly!$D:$AM, 10, FALSE), 1)</f>
        <v>2.3244608412332037E-2</v>
      </c>
      <c r="N13" s="7">
        <f>$B13 * IFERROR(VLOOKUP("buildings|PM25|Non-fatal heart attacks", US_national_yearly!$D:$AM, 22, FALSE) / VLOOKUP("buildings|PM25|Non-fatal heart attacks", US_national_yearly!$D:$AM, 10, FALSE), 1)</f>
        <v>2.3503325369029052E-2</v>
      </c>
      <c r="O13" s="7">
        <f>$B13 * IFERROR(VLOOKUP("buildings|PM25|Non-fatal heart attacks", US_national_yearly!$D:$AM, 23, FALSE) / VLOOKUP("buildings|PM25|Non-fatal heart attacks", US_national_yearly!$D:$AM, 10, FALSE), 1)</f>
        <v>2.3762042325726065E-2</v>
      </c>
      <c r="P13" s="7">
        <f>$B13 * IFERROR(VLOOKUP("buildings|PM25|Non-fatal heart attacks", US_national_yearly!$D:$AM, 24, FALSE) / VLOOKUP("buildings|PM25|Non-fatal heart attacks", US_national_yearly!$D:$AM, 10, FALSE), 1)</f>
        <v>2.4020759282423074E-2</v>
      </c>
      <c r="Q13" s="7">
        <f>$B13 * IFERROR(VLOOKUP("buildings|PM25|Non-fatal heart attacks", US_national_yearly!$D:$AM, 25, FALSE) / VLOOKUP("buildings|PM25|Non-fatal heart attacks", US_national_yearly!$D:$AM, 10, FALSE), 1)</f>
        <v>2.427947623912009E-2</v>
      </c>
      <c r="R13" s="7">
        <f>$B13 * IFERROR(VLOOKUP("buildings|PM25|Non-fatal heart attacks", US_national_yearly!$D:$AM, 26, FALSE) / VLOOKUP("buildings|PM25|Non-fatal heart attacks", US_national_yearly!$D:$AM, 10, FALSE), 1)</f>
        <v>2.4538193195817102E-2</v>
      </c>
      <c r="S13" s="7">
        <f>$B13 * IFERROR(VLOOKUP("buildings|PM25|Non-fatal heart attacks", US_national_yearly!$D:$AM, 27, FALSE) / VLOOKUP("buildings|PM25|Non-fatal heart attacks", US_national_yearly!$D:$AM, 10, FALSE), 1)</f>
        <v>2.4675031062862632E-2</v>
      </c>
      <c r="T13" s="7">
        <f>$B13 * IFERROR(VLOOKUP("buildings|PM25|Non-fatal heart attacks", US_national_yearly!$D:$AM, 28, FALSE) / VLOOKUP("buildings|PM25|Non-fatal heart attacks", US_national_yearly!$D:$AM, 10, FALSE), 1)</f>
        <v>2.4811868929908169E-2</v>
      </c>
      <c r="U13" s="7">
        <f>$B13 * IFERROR(VLOOKUP("buildings|PM25|Non-fatal heart attacks", US_national_yearly!$D:$AM, 29, FALSE) / VLOOKUP("buildings|PM25|Non-fatal heart attacks", US_national_yearly!$D:$AM, 10, FALSE), 1)</f>
        <v>2.4948706796953705E-2</v>
      </c>
      <c r="V13" s="7">
        <f>$B13 * IFERROR(VLOOKUP("buildings|PM25|Non-fatal heart attacks", US_national_yearly!$D:$AM, 30, FALSE) / VLOOKUP("buildings|PM25|Non-fatal heart attacks", US_national_yearly!$D:$AM, 10, FALSE), 1)</f>
        <v>2.5085544663999235E-2</v>
      </c>
      <c r="W13" s="7">
        <f>$B13 * IFERROR(VLOOKUP("buildings|PM25|Non-fatal heart attacks", US_national_yearly!$D:$AM, 31, FALSE) / VLOOKUP("buildings|PM25|Non-fatal heart attacks", US_national_yearly!$D:$AM, 10, FALSE), 1)</f>
        <v>2.5222382531044772E-2</v>
      </c>
      <c r="X13" s="7">
        <f>$B13 * IFERROR(VLOOKUP("buildings|PM25|Non-fatal heart attacks", US_national_yearly!$D:$AM, 32, FALSE) / VLOOKUP("buildings|PM25|Non-fatal heart attacks", US_national_yearly!$D:$AM, 10, FALSE), 1)</f>
        <v>2.5326526142274722E-2</v>
      </c>
      <c r="Y13" s="7">
        <f>$B13 * IFERROR(VLOOKUP("buildings|PM25|Non-fatal heart attacks", US_national_yearly!$D:$AM, 33, FALSE) / VLOOKUP("buildings|PM25|Non-fatal heart attacks", US_national_yearly!$D:$AM, 10, FALSE), 1)</f>
        <v>2.5430669753504671E-2</v>
      </c>
      <c r="Z13" s="7">
        <f>$B13 * IFERROR(VLOOKUP("buildings|PM25|Non-fatal heart attacks", US_national_yearly!$D:$AM, 34, FALSE) / VLOOKUP("buildings|PM25|Non-fatal heart attacks", US_national_yearly!$D:$AM, 10, FALSE), 1)</f>
        <v>2.5534813364734617E-2</v>
      </c>
      <c r="AA13" s="7">
        <f>$B13 * IFERROR(VLOOKUP("buildings|PM25|Non-fatal heart attacks", US_national_yearly!$D:$AM, 35, FALSE) / VLOOKUP("buildings|PM25|Non-fatal heart attacks", US_national_yearly!$D:$AM, 10, FALSE), 1)</f>
        <v>2.5638956975964567E-2</v>
      </c>
      <c r="AB13" s="7">
        <f>$B13 * IFERROR(VLOOKUP("buildings|PM25|Non-fatal heart attacks", US_national_yearly!$D:$AM, 36, FALSE) / VLOOKUP("buildings|PM25|Non-fatal heart attacks", US_national_yearly!$D:$AM, 10, FALSE), 1)</f>
        <v>2.5743100587194524E-2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10.861775454830827</v>
      </c>
      <c r="C14" s="7">
        <f>$B14 * IFERROR(VLOOKUP("buildings|PM25|Minor restricted activity days", US_national_yearly!$D:$AM, 11, FALSE) / VLOOKUP("buildings|PM25|Minor restricted activity days", US_national_yearly!$D:$AM, 10, FALSE), 1)</f>
        <v>10.888789299324804</v>
      </c>
      <c r="D14" s="7">
        <f>$B14 * IFERROR(VLOOKUP("buildings|PM25|Minor restricted activity days", US_national_yearly!$D:$AM, 12, FALSE) / VLOOKUP("buildings|PM25|Minor restricted activity days", US_national_yearly!$D:$AM, 10, FALSE), 1)</f>
        <v>10.915803143818781</v>
      </c>
      <c r="E14" s="7">
        <f>$B14 * IFERROR(VLOOKUP("buildings|PM25|Minor restricted activity days", US_national_yearly!$D:$AM, 13, FALSE) / VLOOKUP("buildings|PM25|Minor restricted activity days", US_national_yearly!$D:$AM, 10, FALSE), 1)</f>
        <v>10.942816988312757</v>
      </c>
      <c r="F14" s="7">
        <f>$B14 * IFERROR(VLOOKUP("buildings|PM25|Minor restricted activity days", US_national_yearly!$D:$AM, 14, FALSE) / VLOOKUP("buildings|PM25|Minor restricted activity days", US_national_yearly!$D:$AM, 10, FALSE), 1)</f>
        <v>10.969830832806732</v>
      </c>
      <c r="G14" s="7">
        <f>$B14 * IFERROR(VLOOKUP("buildings|PM25|Minor restricted activity days", US_national_yearly!$D:$AM, 15, FALSE) / VLOOKUP("buildings|PM25|Minor restricted activity days", US_national_yearly!$D:$AM, 10, FALSE), 1)</f>
        <v>11.009451940689708</v>
      </c>
      <c r="H14" s="7">
        <f>$B14 * IFERROR(VLOOKUP("buildings|PM25|Minor restricted activity days", US_national_yearly!$D:$AM, 16, FALSE) / VLOOKUP("buildings|PM25|Minor restricted activity days", US_national_yearly!$D:$AM, 10, FALSE), 1)</f>
        <v>11.04907304857268</v>
      </c>
      <c r="I14" s="7">
        <f>$B14 * IFERROR(VLOOKUP("buildings|PM25|Minor restricted activity days", US_national_yearly!$D:$AM, 17, FALSE) / VLOOKUP("buildings|PM25|Minor restricted activity days", US_national_yearly!$D:$AM, 10, FALSE), 1)</f>
        <v>11.116446717935325</v>
      </c>
      <c r="J14" s="7">
        <f>$B14 * IFERROR(VLOOKUP("buildings|PM25|Minor restricted activity days", US_national_yearly!$D:$AM, 18, FALSE) / VLOOKUP("buildings|PM25|Minor restricted activity days", US_national_yearly!$D:$AM, 10, FALSE), 1)</f>
        <v>11.183820387297974</v>
      </c>
      <c r="K14" s="7">
        <f>$B14 * IFERROR(VLOOKUP("buildings|PM25|Minor restricted activity days", US_national_yearly!$D:$AM, 19, FALSE) / VLOOKUP("buildings|PM25|Minor restricted activity days", US_national_yearly!$D:$AM, 10, FALSE), 1)</f>
        <v>11.251194056660614</v>
      </c>
      <c r="L14" s="7">
        <f>$B14 * IFERROR(VLOOKUP("buildings|PM25|Minor restricted activity days", US_national_yearly!$D:$AM, 20, FALSE) / VLOOKUP("buildings|PM25|Minor restricted activity days", US_national_yearly!$D:$AM, 10, FALSE), 1)</f>
        <v>11.318567726023256</v>
      </c>
      <c r="M14" s="7">
        <f>$B14 * IFERROR(VLOOKUP("buildings|PM25|Minor restricted activity days", US_national_yearly!$D:$AM, 21, FALSE) / VLOOKUP("buildings|PM25|Minor restricted activity days", US_national_yearly!$D:$AM, 10, FALSE), 1)</f>
        <v>11.385941395385897</v>
      </c>
      <c r="N14" s="7">
        <f>$B14 * IFERROR(VLOOKUP("buildings|PM25|Minor restricted activity days", US_national_yearly!$D:$AM, 22, FALSE) / VLOOKUP("buildings|PM25|Minor restricted activity days", US_national_yearly!$D:$AM, 10, FALSE), 1)</f>
        <v>11.477485957229309</v>
      </c>
      <c r="O14" s="7">
        <f>$B14 * IFERROR(VLOOKUP("buildings|PM25|Minor restricted activity days", US_national_yearly!$D:$AM, 23, FALSE) / VLOOKUP("buildings|PM25|Minor restricted activity days", US_national_yearly!$D:$AM, 10, FALSE), 1)</f>
        <v>11.569030519072719</v>
      </c>
      <c r="P14" s="7">
        <f>$B14 * IFERROR(VLOOKUP("buildings|PM25|Minor restricted activity days", US_national_yearly!$D:$AM, 24, FALSE) / VLOOKUP("buildings|PM25|Minor restricted activity days", US_national_yearly!$D:$AM, 10, FALSE), 1)</f>
        <v>11.660575080916127</v>
      </c>
      <c r="Q14" s="7">
        <f>$B14 * IFERROR(VLOOKUP("buildings|PM25|Minor restricted activity days", US_national_yearly!$D:$AM, 25, FALSE) / VLOOKUP("buildings|PM25|Minor restricted activity days", US_national_yearly!$D:$AM, 10, FALSE), 1)</f>
        <v>11.752119642759537</v>
      </c>
      <c r="R14" s="7">
        <f>$B14 * IFERROR(VLOOKUP("buildings|PM25|Minor restricted activity days", US_national_yearly!$D:$AM, 26, FALSE) / VLOOKUP("buildings|PM25|Minor restricted activity days", US_national_yearly!$D:$AM, 10, FALSE), 1)</f>
        <v>11.843664204602945</v>
      </c>
      <c r="S14" s="7">
        <f>$B14 * IFERROR(VLOOKUP("buildings|PM25|Minor restricted activity days", US_national_yearly!$D:$AM, 27, FALSE) / VLOOKUP("buildings|PM25|Minor restricted activity days", US_national_yearly!$D:$AM, 10, FALSE), 1)</f>
        <v>11.935776073048221</v>
      </c>
      <c r="T14" s="7">
        <f>$B14 * IFERROR(VLOOKUP("buildings|PM25|Minor restricted activity days", US_national_yearly!$D:$AM, 28, FALSE) / VLOOKUP("buildings|PM25|Minor restricted activity days", US_national_yearly!$D:$AM, 10, FALSE), 1)</f>
        <v>12.027887941493493</v>
      </c>
      <c r="U14" s="7">
        <f>$B14 * IFERROR(VLOOKUP("buildings|PM25|Minor restricted activity days", US_national_yearly!$D:$AM, 29, FALSE) / VLOOKUP("buildings|PM25|Minor restricted activity days", US_national_yearly!$D:$AM, 10, FALSE), 1)</f>
        <v>12.119999809938767</v>
      </c>
      <c r="V14" s="7">
        <f>$B14 * IFERROR(VLOOKUP("buildings|PM25|Minor restricted activity days", US_national_yearly!$D:$AM, 30, FALSE) / VLOOKUP("buildings|PM25|Minor restricted activity days", US_national_yearly!$D:$AM, 10, FALSE), 1)</f>
        <v>12.212111678384039</v>
      </c>
      <c r="W14" s="7">
        <f>$B14 * IFERROR(VLOOKUP("buildings|PM25|Minor restricted activity days", US_national_yearly!$D:$AM, 31, FALSE) / VLOOKUP("buildings|PM25|Minor restricted activity days", US_national_yearly!$D:$AM, 10, FALSE), 1)</f>
        <v>12.304223546829313</v>
      </c>
      <c r="X14" s="7">
        <f>$B14 * IFERROR(VLOOKUP("buildings|PM25|Minor restricted activity days", US_national_yearly!$D:$AM, 32, FALSE) / VLOOKUP("buildings|PM25|Minor restricted activity days", US_national_yearly!$D:$AM, 10, FALSE), 1)</f>
        <v>12.384204797138777</v>
      </c>
      <c r="Y14" s="7">
        <f>$B14 * IFERROR(VLOOKUP("buildings|PM25|Minor restricted activity days", US_national_yearly!$D:$AM, 33, FALSE) / VLOOKUP("buildings|PM25|Minor restricted activity days", US_national_yearly!$D:$AM, 10, FALSE), 1)</f>
        <v>12.464186047448239</v>
      </c>
      <c r="Z14" s="7">
        <f>$B14 * IFERROR(VLOOKUP("buildings|PM25|Minor restricted activity days", US_national_yearly!$D:$AM, 34, FALSE) / VLOOKUP("buildings|PM25|Minor restricted activity days", US_national_yearly!$D:$AM, 10, FALSE), 1)</f>
        <v>12.544167297757699</v>
      </c>
      <c r="AA14" s="7">
        <f>$B14 * IFERROR(VLOOKUP("buildings|PM25|Minor restricted activity days", US_national_yearly!$D:$AM, 35, FALSE) / VLOOKUP("buildings|PM25|Minor restricted activity days", US_national_yearly!$D:$AM, 10, FALSE), 1)</f>
        <v>12.624148548067161</v>
      </c>
      <c r="AB14" s="7">
        <f>$B14 * IFERROR(VLOOKUP("buildings|PM25|Minor restricted activity days", US_national_yearly!$D:$AM, 36, FALSE) / VLOOKUP("buildings|PM25|Minor restricted activity days", US_national_yearly!$D:$AM, 10, FALSE), 1)</f>
        <v>12.704129798376623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1.8380629823523418</v>
      </c>
      <c r="C15" s="7">
        <f>$B15 * IFERROR(VLOOKUP("buildings|PM25|Work loss days", US_national_yearly!$D:$AM, 11, FALSE) / VLOOKUP("buildings|PM25|Work loss days", US_national_yearly!$D:$AM, 10, FALSE), 1)</f>
        <v>1.8438312203878444</v>
      </c>
      <c r="D15" s="7">
        <f>$B15 * IFERROR(VLOOKUP("buildings|PM25|Work loss days", US_national_yearly!$D:$AM, 12, FALSE) / VLOOKUP("buildings|PM25|Work loss days", US_national_yearly!$D:$AM, 10, FALSE), 1)</f>
        <v>1.8495994584233466</v>
      </c>
      <c r="E15" s="7">
        <f>$B15 * IFERROR(VLOOKUP("buildings|PM25|Work loss days", US_national_yearly!$D:$AM, 13, FALSE) / VLOOKUP("buildings|PM25|Work loss days", US_national_yearly!$D:$AM, 10, FALSE), 1)</f>
        <v>1.855367696458849</v>
      </c>
      <c r="F15" s="7">
        <f>$B15 * IFERROR(VLOOKUP("buildings|PM25|Work loss days", US_national_yearly!$D:$AM, 14, FALSE) / VLOOKUP("buildings|PM25|Work loss days", US_national_yearly!$D:$AM, 10, FALSE), 1)</f>
        <v>1.8611359344943512</v>
      </c>
      <c r="G15" s="7">
        <f>$B15 * IFERROR(VLOOKUP("buildings|PM25|Work loss days", US_national_yearly!$D:$AM, 15, FALSE) / VLOOKUP("buildings|PM25|Work loss days", US_national_yearly!$D:$AM, 10, FALSE), 1)</f>
        <v>1.8686755385224298</v>
      </c>
      <c r="H15" s="7">
        <f>$B15 * IFERROR(VLOOKUP("buildings|PM25|Work loss days", US_national_yearly!$D:$AM, 16, FALSE) / VLOOKUP("buildings|PM25|Work loss days", US_national_yearly!$D:$AM, 10, FALSE), 1)</f>
        <v>1.8762151425505085</v>
      </c>
      <c r="I15" s="7">
        <f>$B15 * IFERROR(VLOOKUP("buildings|PM25|Work loss days", US_national_yearly!$D:$AM, 17, FALSE) / VLOOKUP("buildings|PM25|Work loss days", US_national_yearly!$D:$AM, 10, FALSE), 1)</f>
        <v>1.8872883049413716</v>
      </c>
      <c r="J15" s="7">
        <f>$B15 * IFERROR(VLOOKUP("buildings|PM25|Work loss days", US_national_yearly!$D:$AM, 18, FALSE) / VLOOKUP("buildings|PM25|Work loss days", US_national_yearly!$D:$AM, 10, FALSE), 1)</f>
        <v>1.8983614673322347</v>
      </c>
      <c r="K15" s="7">
        <f>$B15 * IFERROR(VLOOKUP("buildings|PM25|Work loss days", US_national_yearly!$D:$AM, 19, FALSE) / VLOOKUP("buildings|PM25|Work loss days", US_national_yearly!$D:$AM, 10, FALSE), 1)</f>
        <v>1.9094346297230977</v>
      </c>
      <c r="L15" s="7">
        <f>$B15 * IFERROR(VLOOKUP("buildings|PM25|Work loss days", US_national_yearly!$D:$AM, 20, FALSE) / VLOOKUP("buildings|PM25|Work loss days", US_national_yearly!$D:$AM, 10, FALSE), 1)</f>
        <v>1.9205077921139606</v>
      </c>
      <c r="M15" s="7">
        <f>$B15 * IFERROR(VLOOKUP("buildings|PM25|Work loss days", US_national_yearly!$D:$AM, 21, FALSE) / VLOOKUP("buildings|PM25|Work loss days", US_national_yearly!$D:$AM, 10, FALSE), 1)</f>
        <v>1.9315809545048241</v>
      </c>
      <c r="N15" s="7">
        <f>$B15 * IFERROR(VLOOKUP("buildings|PM25|Work loss days", US_national_yearly!$D:$AM, 22, FALSE) / VLOOKUP("buildings|PM25|Work loss days", US_national_yearly!$D:$AM, 10, FALSE), 1)</f>
        <v>1.9455028587623131</v>
      </c>
      <c r="O15" s="7">
        <f>$B15 * IFERROR(VLOOKUP("buildings|PM25|Work loss days", US_national_yearly!$D:$AM, 23, FALSE) / VLOOKUP("buildings|PM25|Work loss days", US_national_yearly!$D:$AM, 10, FALSE), 1)</f>
        <v>1.9594247630198023</v>
      </c>
      <c r="P15" s="7">
        <f>$B15 * IFERROR(VLOOKUP("buildings|PM25|Work loss days", US_national_yearly!$D:$AM, 24, FALSE) / VLOOKUP("buildings|PM25|Work loss days", US_national_yearly!$D:$AM, 10, FALSE), 1)</f>
        <v>1.9733466672772912</v>
      </c>
      <c r="Q15" s="7">
        <f>$B15 * IFERROR(VLOOKUP("buildings|PM25|Work loss days", US_national_yearly!$D:$AM, 25, FALSE) / VLOOKUP("buildings|PM25|Work loss days", US_national_yearly!$D:$AM, 10, FALSE), 1)</f>
        <v>1.98726857153478</v>
      </c>
      <c r="R15" s="7">
        <f>$B15 * IFERROR(VLOOKUP("buildings|PM25|Work loss days", US_national_yearly!$D:$AM, 26, FALSE) / VLOOKUP("buildings|PM25|Work loss days", US_national_yearly!$D:$AM, 10, FALSE), 1)</f>
        <v>2.0011904757922694</v>
      </c>
      <c r="S15" s="7">
        <f>$B15 * IFERROR(VLOOKUP("buildings|PM25|Work loss days", US_national_yearly!$D:$AM, 27, FALSE) / VLOOKUP("buildings|PM25|Work loss days", US_national_yearly!$D:$AM, 10, FALSE), 1)</f>
        <v>2.0165689493064036</v>
      </c>
      <c r="T15" s="7">
        <f>$B15 * IFERROR(VLOOKUP("buildings|PM25|Work loss days", US_national_yearly!$D:$AM, 28, FALSE) / VLOOKUP("buildings|PM25|Work loss days", US_national_yearly!$D:$AM, 10, FALSE), 1)</f>
        <v>2.0319474228205379</v>
      </c>
      <c r="U15" s="7">
        <f>$B15 * IFERROR(VLOOKUP("buildings|PM25|Work loss days", US_national_yearly!$D:$AM, 29, FALSE) / VLOOKUP("buildings|PM25|Work loss days", US_national_yearly!$D:$AM, 10, FALSE), 1)</f>
        <v>2.0473258963346725</v>
      </c>
      <c r="V15" s="7">
        <f>$B15 * IFERROR(VLOOKUP("buildings|PM25|Work loss days", US_national_yearly!$D:$AM, 30, FALSE) / VLOOKUP("buildings|PM25|Work loss days", US_national_yearly!$D:$AM, 10, FALSE), 1)</f>
        <v>2.0627043698488068</v>
      </c>
      <c r="W15" s="7">
        <f>$B15 * IFERROR(VLOOKUP("buildings|PM25|Work loss days", US_national_yearly!$D:$AM, 31, FALSE) / VLOOKUP("buildings|PM25|Work loss days", US_national_yearly!$D:$AM, 10, FALSE), 1)</f>
        <v>2.0780828433629415</v>
      </c>
      <c r="X15" s="7">
        <f>$B15 * IFERROR(VLOOKUP("buildings|PM25|Work loss days", US_national_yearly!$D:$AM, 32, FALSE) / VLOOKUP("buildings|PM25|Work loss days", US_national_yearly!$D:$AM, 10, FALSE), 1)</f>
        <v>2.09172977289349</v>
      </c>
      <c r="Y15" s="7">
        <f>$B15 * IFERROR(VLOOKUP("buildings|PM25|Work loss days", US_national_yearly!$D:$AM, 33, FALSE) / VLOOKUP("buildings|PM25|Work loss days", US_national_yearly!$D:$AM, 10, FALSE), 1)</f>
        <v>2.1053767024240391</v>
      </c>
      <c r="Z15" s="7">
        <f>$B15 * IFERROR(VLOOKUP("buildings|PM25|Work loss days", US_national_yearly!$D:$AM, 34, FALSE) / VLOOKUP("buildings|PM25|Work loss days", US_national_yearly!$D:$AM, 10, FALSE), 1)</f>
        <v>2.1190236319545876</v>
      </c>
      <c r="AA15" s="7">
        <f>$B15 * IFERROR(VLOOKUP("buildings|PM25|Work loss days", US_national_yearly!$D:$AM, 35, FALSE) / VLOOKUP("buildings|PM25|Work loss days", US_national_yearly!$D:$AM, 10, FALSE), 1)</f>
        <v>2.1326705614851371</v>
      </c>
      <c r="AB15" s="7">
        <f>$B15 * IFERROR(VLOOKUP("buildings|PM25|Work loss days", US_national_yearly!$D:$AM, 36, FALSE) / VLOOKUP("buildings|PM25|Work loss days", US_national_yearly!$D:$AM, 10, FALSE), 1)</f>
        <v>2.1463174910156857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4.6475670554125287E-3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4.7864658557627083E-3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4.9253646561128878E-3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5.0642634564630655E-3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5.203162256813245E-3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5.3362483328355543E-3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5.4693344088578627E-3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5.5832683349310826E-3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5.6972022610043017E-3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5.8111361870775225E-3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5.9250701131507433E-3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6.0390040392239641E-3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6.1150835094506573E-3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6.1911629796773523E-3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6.2672424499040456E-3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6.3433219201307406E-3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6.4194013903574338E-3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6.4598274676182111E-3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6.5002535448789867E-3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6.5406796221397639E-3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6.5811056994005404E-3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6.6215317766613185E-3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6.648866131386039E-3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6.6762004861107595E-3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6.7035348408354799E-3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6.7308691955602004E-3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6.7582035502849209E-3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2.7664022205345132E-3</v>
      </c>
      <c r="C2" s="7">
        <f>$B2 * IFERROR(VLOOKUP("buildings|NOx|Premature mortality", US_national_yearly!$D:$AM, 11, FALSE) / VLOOKUP("buildings|NOx|Premature mortality", US_national_yearly!$D:$AM, 10, FALSE), 1)</f>
        <v>2.8070923564409824E-3</v>
      </c>
      <c r="D2" s="7">
        <f>$B2 * IFERROR(VLOOKUP("buildings|NOx|Premature mortality", US_national_yearly!$D:$AM, 12, FALSE) / VLOOKUP("buildings|NOx|Premature mortality", US_national_yearly!$D:$AM, 10, FALSE), 1)</f>
        <v>2.8477824923474507E-3</v>
      </c>
      <c r="E2" s="7">
        <f>$B2 * IFERROR(VLOOKUP("buildings|NOx|Premature mortality", US_national_yearly!$D:$AM, 13, FALSE) / VLOOKUP("buildings|NOx|Premature mortality", US_national_yearly!$D:$AM, 10, FALSE), 1)</f>
        <v>2.8884726282539198E-3</v>
      </c>
      <c r="F2" s="7">
        <f>$B2 * IFERROR(VLOOKUP("buildings|NOx|Premature mortality", US_national_yearly!$D:$AM, 14, FALSE) / VLOOKUP("buildings|NOx|Premature mortality", US_national_yearly!$D:$AM, 10, FALSE), 1)</f>
        <v>2.9291627641603885E-3</v>
      </c>
      <c r="G2" s="7">
        <f>$B2 * IFERROR(VLOOKUP("buildings|NOx|Premature mortality", US_national_yearly!$D:$AM, 15, FALSE) / VLOOKUP("buildings|NOx|Premature mortality", US_national_yearly!$D:$AM, 10, FALSE), 1)</f>
        <v>3.0022163030098956E-3</v>
      </c>
      <c r="H2" s="7">
        <f>$B2 * IFERROR(VLOOKUP("buildings|NOx|Premature mortality", US_national_yearly!$D:$AM, 16, FALSE) / VLOOKUP("buildings|NOx|Premature mortality", US_national_yearly!$D:$AM, 10, FALSE), 1)</f>
        <v>3.0752698418594032E-3</v>
      </c>
      <c r="I2" s="7">
        <f>$B2 * IFERROR(VLOOKUP("buildings|NOx|Premature mortality", US_national_yearly!$D:$AM, 17, FALSE) / VLOOKUP("buildings|NOx|Premature mortality", US_national_yearly!$D:$AM, 10, FALSE), 1)</f>
        <v>3.1224809739018294E-3</v>
      </c>
      <c r="J2" s="7">
        <f>$B2 * IFERROR(VLOOKUP("buildings|NOx|Premature mortality", US_national_yearly!$D:$AM, 18, FALSE) / VLOOKUP("buildings|NOx|Premature mortality", US_national_yearly!$D:$AM, 10, FALSE), 1)</f>
        <v>3.1696921059442547E-3</v>
      </c>
      <c r="K2" s="7">
        <f>$B2 * IFERROR(VLOOKUP("buildings|NOx|Premature mortality", US_national_yearly!$D:$AM, 19, FALSE) / VLOOKUP("buildings|NOx|Premature mortality", US_national_yearly!$D:$AM, 10, FALSE), 1)</f>
        <v>3.2169032379866804E-3</v>
      </c>
      <c r="L2" s="7">
        <f>$B2 * IFERROR(VLOOKUP("buildings|NOx|Premature mortality", US_national_yearly!$D:$AM, 20, FALSE) / VLOOKUP("buildings|NOx|Premature mortality", US_national_yearly!$D:$AM, 10, FALSE), 1)</f>
        <v>3.2641143700291061E-3</v>
      </c>
      <c r="M2" s="7">
        <f>$B2 * IFERROR(VLOOKUP("buildings|NOx|Premature mortality", US_national_yearly!$D:$AM, 21, FALSE) / VLOOKUP("buildings|NOx|Premature mortality", US_national_yearly!$D:$AM, 10, FALSE), 1)</f>
        <v>3.3113255020715323E-3</v>
      </c>
      <c r="N2" s="7">
        <f>$B2 * IFERROR(VLOOKUP("buildings|NOx|Premature mortality", US_national_yearly!$D:$AM, 22, FALSE) / VLOOKUP("buildings|NOx|Premature mortality", US_national_yearly!$D:$AM, 10, FALSE), 1)</f>
        <v>3.3463071487201215E-3</v>
      </c>
      <c r="O2" s="7">
        <f>$B2 * IFERROR(VLOOKUP("buildings|NOx|Premature mortality", US_national_yearly!$D:$AM, 23, FALSE) / VLOOKUP("buildings|NOx|Premature mortality", US_national_yearly!$D:$AM, 10, FALSE), 1)</f>
        <v>3.3812887953687111E-3</v>
      </c>
      <c r="P2" s="7">
        <f>$B2 * IFERROR(VLOOKUP("buildings|NOx|Premature mortality", US_national_yearly!$D:$AM, 24, FALSE) / VLOOKUP("buildings|NOx|Premature mortality", US_national_yearly!$D:$AM, 10, FALSE), 1)</f>
        <v>3.4162704420173011E-3</v>
      </c>
      <c r="Q2" s="7">
        <f>$B2 * IFERROR(VLOOKUP("buildings|NOx|Premature mortality", US_national_yearly!$D:$AM, 25, FALSE) / VLOOKUP("buildings|NOx|Premature mortality", US_national_yearly!$D:$AM, 10, FALSE), 1)</f>
        <v>3.4512520886658903E-3</v>
      </c>
      <c r="R2" s="7">
        <f>$B2 * IFERROR(VLOOKUP("buildings|NOx|Premature mortality", US_national_yearly!$D:$AM, 26, FALSE) / VLOOKUP("buildings|NOx|Premature mortality", US_national_yearly!$D:$AM, 10, FALSE), 1)</f>
        <v>3.4862337353144799E-3</v>
      </c>
      <c r="S2" s="7">
        <f>$B2 * IFERROR(VLOOKUP("buildings|NOx|Premature mortality", US_national_yearly!$D:$AM, 27, FALSE) / VLOOKUP("buildings|NOx|Premature mortality", US_national_yearly!$D:$AM, 10, FALSE), 1)</f>
        <v>3.5021377710563136E-3</v>
      </c>
      <c r="T2" s="7">
        <f>$B2 * IFERROR(VLOOKUP("buildings|NOx|Premature mortality", US_national_yearly!$D:$AM, 28, FALSE) / VLOOKUP("buildings|NOx|Premature mortality", US_national_yearly!$D:$AM, 10, FALSE), 1)</f>
        <v>3.5180418067981469E-3</v>
      </c>
      <c r="U2" s="7">
        <f>$B2 * IFERROR(VLOOKUP("buildings|NOx|Premature mortality", US_national_yearly!$D:$AM, 29, FALSE) / VLOOKUP("buildings|NOx|Premature mortality", US_national_yearly!$D:$AM, 10, FALSE), 1)</f>
        <v>3.5339458425399806E-3</v>
      </c>
      <c r="V2" s="7">
        <f>$B2 * IFERROR(VLOOKUP("buildings|NOx|Premature mortality", US_national_yearly!$D:$AM, 30, FALSE) / VLOOKUP("buildings|NOx|Premature mortality", US_national_yearly!$D:$AM, 10, FALSE), 1)</f>
        <v>3.5498498782818143E-3</v>
      </c>
      <c r="W2" s="7">
        <f>$B2 * IFERROR(VLOOKUP("buildings|NOx|Premature mortality", US_national_yearly!$D:$AM, 31, FALSE) / VLOOKUP("buildings|NOx|Premature mortality", US_national_yearly!$D:$AM, 10, FALSE), 1)</f>
        <v>3.5657539140236472E-3</v>
      </c>
      <c r="X2" s="7">
        <f>$B2 * IFERROR(VLOOKUP("buildings|NOx|Premature mortality", US_national_yearly!$D:$AM, 32, FALSE) / VLOOKUP("buildings|NOx|Premature mortality", US_national_yearly!$D:$AM, 10, FALSE), 1)</f>
        <v>3.5663140411980043E-3</v>
      </c>
      <c r="Y2" s="7">
        <f>$B2 * IFERROR(VLOOKUP("buildings|NOx|Premature mortality", US_national_yearly!$D:$AM, 33, FALSE) / VLOOKUP("buildings|NOx|Premature mortality", US_national_yearly!$D:$AM, 10, FALSE), 1)</f>
        <v>3.5668741683723615E-3</v>
      </c>
      <c r="Z2" s="7">
        <f>$B2 * IFERROR(VLOOKUP("buildings|NOx|Premature mortality", US_national_yearly!$D:$AM, 34, FALSE) / VLOOKUP("buildings|NOx|Premature mortality", US_national_yearly!$D:$AM, 10, FALSE), 1)</f>
        <v>3.5674342955467181E-3</v>
      </c>
      <c r="AA2" s="7">
        <f>$B2 * IFERROR(VLOOKUP("buildings|NOx|Premature mortality", US_national_yearly!$D:$AM, 35, FALSE) / VLOOKUP("buildings|NOx|Premature mortality", US_national_yearly!$D:$AM, 10, FALSE), 1)</f>
        <v>3.5679944227210744E-3</v>
      </c>
      <c r="AB2" s="7">
        <f>$B2 * IFERROR(VLOOKUP("buildings|NOx|Premature mortality", US_national_yearly!$D:$AM, 36, FALSE) / VLOOKUP("buildings|NOx|Premature mortality", US_national_yearly!$D:$AM, 10, FALSE), 1)</f>
        <v>3.568554549895432E-3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5.319370260248303E-6</v>
      </c>
      <c r="C3" s="7">
        <f>$B3 * IFERROR(VLOOKUP("buildings|NOx|Infant mortality", US_national_yearly!$D:$AM, 11, FALSE) / VLOOKUP("buildings|NOx|Infant mortality", US_national_yearly!$D:$AM, 10, FALSE), 1)</f>
        <v>5.2688424857833718E-6</v>
      </c>
      <c r="D3" s="7">
        <f>$B3 * IFERROR(VLOOKUP("buildings|NOx|Infant mortality", US_national_yearly!$D:$AM, 12, FALSE) / VLOOKUP("buildings|NOx|Infant mortality", US_national_yearly!$D:$AM, 10, FALSE), 1)</f>
        <v>5.2183147113184397E-6</v>
      </c>
      <c r="E3" s="7">
        <f>$B3 * IFERROR(VLOOKUP("buildings|NOx|Infant mortality", US_national_yearly!$D:$AM, 13, FALSE) / VLOOKUP("buildings|NOx|Infant mortality", US_national_yearly!$D:$AM, 10, FALSE), 1)</f>
        <v>5.1677869368535084E-6</v>
      </c>
      <c r="F3" s="7">
        <f>$B3 * IFERROR(VLOOKUP("buildings|NOx|Infant mortality", US_national_yearly!$D:$AM, 14, FALSE) / VLOOKUP("buildings|NOx|Infant mortality", US_national_yearly!$D:$AM, 10, FALSE), 1)</f>
        <v>5.1172591623885755E-6</v>
      </c>
      <c r="G3" s="7">
        <f>$B3 * IFERROR(VLOOKUP("buildings|NOx|Infant mortality", US_national_yearly!$D:$AM, 15, FALSE) / VLOOKUP("buildings|NOx|Infant mortality", US_national_yearly!$D:$AM, 10, FALSE), 1)</f>
        <v>3.3965165325370454E-6</v>
      </c>
      <c r="H3" s="7">
        <f>$B3 * IFERROR(VLOOKUP("buildings|NOx|Infant mortality", US_national_yearly!$D:$AM, 16, FALSE) / VLOOKUP("buildings|NOx|Infant mortality", US_national_yearly!$D:$AM, 10, FALSE), 1)</f>
        <v>1.6757739026855145E-6</v>
      </c>
      <c r="I3" s="7">
        <f>$B3 * IFERROR(VLOOKUP("buildings|NOx|Infant mortality", US_national_yearly!$D:$AM, 17, FALSE) / VLOOKUP("buildings|NOx|Infant mortality", US_national_yearly!$D:$AM, 10, FALSE), 1)</f>
        <v>1.6639353001241594E-6</v>
      </c>
      <c r="J3" s="7">
        <f>$B3 * IFERROR(VLOOKUP("buildings|NOx|Infant mortality", US_national_yearly!$D:$AM, 18, FALSE) / VLOOKUP("buildings|NOx|Infant mortality", US_national_yearly!$D:$AM, 10, FALSE), 1)</f>
        <v>1.6520966975628039E-6</v>
      </c>
      <c r="K3" s="7">
        <f>$B3 * IFERROR(VLOOKUP("buildings|NOx|Infant mortality", US_national_yearly!$D:$AM, 19, FALSE) / VLOOKUP("buildings|NOx|Infant mortality", US_national_yearly!$D:$AM, 10, FALSE), 1)</f>
        <v>1.6402580950014488E-6</v>
      </c>
      <c r="L3" s="7">
        <f>$B3 * IFERROR(VLOOKUP("buildings|NOx|Infant mortality", US_national_yearly!$D:$AM, 20, FALSE) / VLOOKUP("buildings|NOx|Infant mortality", US_national_yearly!$D:$AM, 10, FALSE), 1)</f>
        <v>1.6284194924400937E-6</v>
      </c>
      <c r="M3" s="7">
        <f>$B3 * IFERROR(VLOOKUP("buildings|NOx|Infant mortality", US_national_yearly!$D:$AM, 21, FALSE) / VLOOKUP("buildings|NOx|Infant mortality", US_national_yearly!$D:$AM, 10, FALSE), 1)</f>
        <v>1.6165808898787382E-6</v>
      </c>
      <c r="N3" s="7">
        <f>$B3 * IFERROR(VLOOKUP("buildings|NOx|Infant mortality", US_national_yearly!$D:$AM, 22, FALSE) / VLOOKUP("buildings|NOx|Infant mortality", US_national_yearly!$D:$AM, 10, FALSE), 1)</f>
        <v>1.6087361108038195E-6</v>
      </c>
      <c r="O3" s="7">
        <f>$B3 * IFERROR(VLOOKUP("buildings|NOx|Infant mortality", US_national_yearly!$D:$AM, 23, FALSE) / VLOOKUP("buildings|NOx|Infant mortality", US_national_yearly!$D:$AM, 10, FALSE), 1)</f>
        <v>1.6008913317289009E-6</v>
      </c>
      <c r="P3" s="7">
        <f>$B3 * IFERROR(VLOOKUP("buildings|NOx|Infant mortality", US_national_yearly!$D:$AM, 24, FALSE) / VLOOKUP("buildings|NOx|Infant mortality", US_national_yearly!$D:$AM, 10, FALSE), 1)</f>
        <v>1.5930465526539824E-6</v>
      </c>
      <c r="Q3" s="7">
        <f>$B3 * IFERROR(VLOOKUP("buildings|NOx|Infant mortality", US_national_yearly!$D:$AM, 25, FALSE) / VLOOKUP("buildings|NOx|Infant mortality", US_national_yearly!$D:$AM, 10, FALSE), 1)</f>
        <v>1.585201773579064E-6</v>
      </c>
      <c r="R3" s="7">
        <f>$B3 * IFERROR(VLOOKUP("buildings|NOx|Infant mortality", US_national_yearly!$D:$AM, 26, FALSE) / VLOOKUP("buildings|NOx|Infant mortality", US_national_yearly!$D:$AM, 10, FALSE), 1)</f>
        <v>1.5773569945041455E-6</v>
      </c>
      <c r="S3" s="7">
        <f>$B3 * IFERROR(VLOOKUP("buildings|NOx|Infant mortality", US_national_yearly!$D:$AM, 27, FALSE) / VLOOKUP("buildings|NOx|Infant mortality", US_national_yearly!$D:$AM, 10, FALSE), 1)</f>
        <v>1.5679202263060296E-6</v>
      </c>
      <c r="T3" s="7">
        <f>$B3 * IFERROR(VLOOKUP("buildings|NOx|Infant mortality", US_national_yearly!$D:$AM, 28, FALSE) / VLOOKUP("buildings|NOx|Infant mortality", US_national_yearly!$D:$AM, 10, FALSE), 1)</f>
        <v>1.5584834581079138E-6</v>
      </c>
      <c r="U3" s="7">
        <f>$B3 * IFERROR(VLOOKUP("buildings|NOx|Infant mortality", US_national_yearly!$D:$AM, 29, FALSE) / VLOOKUP("buildings|NOx|Infant mortality", US_national_yearly!$D:$AM, 10, FALSE), 1)</f>
        <v>1.5490466899097978E-6</v>
      </c>
      <c r="V3" s="7">
        <f>$B3 * IFERROR(VLOOKUP("buildings|NOx|Infant mortality", US_national_yearly!$D:$AM, 30, FALSE) / VLOOKUP("buildings|NOx|Infant mortality", US_national_yearly!$D:$AM, 10, FALSE), 1)</f>
        <v>1.5396099217116819E-6</v>
      </c>
      <c r="W3" s="7">
        <f>$B3 * IFERROR(VLOOKUP("buildings|NOx|Infant mortality", US_national_yearly!$D:$AM, 31, FALSE) / VLOOKUP("buildings|NOx|Infant mortality", US_national_yearly!$D:$AM, 10, FALSE), 1)</f>
        <v>1.5301731535135661E-6</v>
      </c>
      <c r="X3" s="7">
        <f>$B3 * IFERROR(VLOOKUP("buildings|NOx|Infant mortality", US_national_yearly!$D:$AM, 32, FALSE) / VLOOKUP("buildings|NOx|Infant mortality", US_national_yearly!$D:$AM, 10, FALSE), 1)</f>
        <v>1.5201882256826277E-6</v>
      </c>
      <c r="Y3" s="7">
        <f>$B3 * IFERROR(VLOOKUP("buildings|NOx|Infant mortality", US_national_yearly!$D:$AM, 33, FALSE) / VLOOKUP("buildings|NOx|Infant mortality", US_national_yearly!$D:$AM, 10, FALSE), 1)</f>
        <v>1.5102032978516897E-6</v>
      </c>
      <c r="Z3" s="7">
        <f>$B3 * IFERROR(VLOOKUP("buildings|NOx|Infant mortality", US_national_yearly!$D:$AM, 34, FALSE) / VLOOKUP("buildings|NOx|Infant mortality", US_national_yearly!$D:$AM, 10, FALSE), 1)</f>
        <v>1.500218370020751E-6</v>
      </c>
      <c r="AA3" s="7">
        <f>$B3 * IFERROR(VLOOKUP("buildings|NOx|Infant mortality", US_national_yearly!$D:$AM, 35, FALSE) / VLOOKUP("buildings|NOx|Infant mortality", US_national_yearly!$D:$AM, 10, FALSE), 1)</f>
        <v>1.4902334421898126E-6</v>
      </c>
      <c r="AB3" s="7">
        <f>$B3 * IFERROR(VLOOKUP("buildings|NOx|Infant mortality", US_national_yearly!$D:$AM, 36, FALSE) / VLOOKUP("buildings|NOx|Infant mortality", US_national_yearly!$D:$AM, 10, FALSE), 1)</f>
        <v>1.4802485143588741E-6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5.7012995014380239E-3</v>
      </c>
      <c r="C6" s="7">
        <f>$B6 * IFERROR(VLOOKUP("buildings|NOx|Asthma symptoms cough", US_national_yearly!$D:$AM, 11, FALSE) / VLOOKUP("buildings|NOx|Asthma symptoms cough", US_national_yearly!$D:$AM, 10, FALSE), 1)</f>
        <v>5.7793233380437729E-3</v>
      </c>
      <c r="D6" s="7">
        <f>$B6 * IFERROR(VLOOKUP("buildings|NOx|Asthma symptoms cough", US_national_yearly!$D:$AM, 12, FALSE) / VLOOKUP("buildings|NOx|Asthma symptoms cough", US_national_yearly!$D:$AM, 10, FALSE), 1)</f>
        <v>5.8573471746495229E-3</v>
      </c>
      <c r="E6" s="7">
        <f>$B6 * IFERROR(VLOOKUP("buildings|NOx|Asthma symptoms cough", US_national_yearly!$D:$AM, 13, FALSE) / VLOOKUP("buildings|NOx|Asthma symptoms cough", US_national_yearly!$D:$AM, 10, FALSE), 1)</f>
        <v>5.9353710112552719E-3</v>
      </c>
      <c r="F6" s="7">
        <f>$B6 * IFERROR(VLOOKUP("buildings|NOx|Asthma symptoms cough", US_national_yearly!$D:$AM, 14, FALSE) / VLOOKUP("buildings|NOx|Asthma symptoms cough", US_national_yearly!$D:$AM, 10, FALSE), 1)</f>
        <v>6.0133948478610201E-3</v>
      </c>
      <c r="G6" s="7">
        <f>$B6 * IFERROR(VLOOKUP("buildings|NOx|Asthma symptoms cough", US_national_yearly!$D:$AM, 15, FALSE) / VLOOKUP("buildings|NOx|Asthma symptoms cough", US_national_yearly!$D:$AM, 10, FALSE), 1)</f>
        <v>6.0757505133854552E-3</v>
      </c>
      <c r="H6" s="7">
        <f>$B6 * IFERROR(VLOOKUP("buildings|NOx|Asthma symptoms cough", US_national_yearly!$D:$AM, 16, FALSE) / VLOOKUP("buildings|NOx|Asthma symptoms cough", US_national_yearly!$D:$AM, 10, FALSE), 1)</f>
        <v>6.1381061789098903E-3</v>
      </c>
      <c r="I6" s="7">
        <f>$B6 * IFERROR(VLOOKUP("buildings|NOx|Asthma symptoms cough", US_national_yearly!$D:$AM, 17, FALSE) / VLOOKUP("buildings|NOx|Asthma symptoms cough", US_national_yearly!$D:$AM, 10, FALSE), 1)</f>
        <v>6.1596856330822678E-3</v>
      </c>
      <c r="J6" s="7">
        <f>$B6 * IFERROR(VLOOKUP("buildings|NOx|Asthma symptoms cough", US_national_yearly!$D:$AM, 18, FALSE) / VLOOKUP("buildings|NOx|Asthma symptoms cough", US_national_yearly!$D:$AM, 10, FALSE), 1)</f>
        <v>6.1812650872546462E-3</v>
      </c>
      <c r="K6" s="7">
        <f>$B6 * IFERROR(VLOOKUP("buildings|NOx|Asthma symptoms cough", US_national_yearly!$D:$AM, 19, FALSE) / VLOOKUP("buildings|NOx|Asthma symptoms cough", US_national_yearly!$D:$AM, 10, FALSE), 1)</f>
        <v>6.2028445414270229E-3</v>
      </c>
      <c r="L6" s="7">
        <f>$B6 * IFERROR(VLOOKUP("buildings|NOx|Asthma symptoms cough", US_national_yearly!$D:$AM, 20, FALSE) / VLOOKUP("buildings|NOx|Asthma symptoms cough", US_national_yearly!$D:$AM, 10, FALSE), 1)</f>
        <v>6.2244239955994013E-3</v>
      </c>
      <c r="M6" s="7">
        <f>$B6 * IFERROR(VLOOKUP("buildings|NOx|Asthma symptoms cough", US_national_yearly!$D:$AM, 21, FALSE) / VLOOKUP("buildings|NOx|Asthma symptoms cough", US_national_yearly!$D:$AM, 10, FALSE), 1)</f>
        <v>6.246003449771778E-3</v>
      </c>
      <c r="N6" s="7">
        <f>$B6 * IFERROR(VLOOKUP("buildings|NOx|Asthma symptoms cough", US_national_yearly!$D:$AM, 22, FALSE) / VLOOKUP("buildings|NOx|Asthma symptoms cough", US_national_yearly!$D:$AM, 10, FALSE), 1)</f>
        <v>6.2709560382436793E-3</v>
      </c>
      <c r="O6" s="7">
        <f>$B6 * IFERROR(VLOOKUP("buildings|NOx|Asthma symptoms cough", US_national_yearly!$D:$AM, 23, FALSE) / VLOOKUP("buildings|NOx|Asthma symptoms cough", US_national_yearly!$D:$AM, 10, FALSE), 1)</f>
        <v>6.2959086267155798E-3</v>
      </c>
      <c r="P6" s="7">
        <f>$B6 * IFERROR(VLOOKUP("buildings|NOx|Asthma symptoms cough", US_national_yearly!$D:$AM, 24, FALSE) / VLOOKUP("buildings|NOx|Asthma symptoms cough", US_national_yearly!$D:$AM, 10, FALSE), 1)</f>
        <v>6.3208612151874803E-3</v>
      </c>
      <c r="Q6" s="7">
        <f>$B6 * IFERROR(VLOOKUP("buildings|NOx|Asthma symptoms cough", US_national_yearly!$D:$AM, 25, FALSE) / VLOOKUP("buildings|NOx|Asthma symptoms cough", US_national_yearly!$D:$AM, 10, FALSE), 1)</f>
        <v>6.3458138036593817E-3</v>
      </c>
      <c r="R6" s="7">
        <f>$B6 * IFERROR(VLOOKUP("buildings|NOx|Asthma symptoms cough", US_national_yearly!$D:$AM, 26, FALSE) / VLOOKUP("buildings|NOx|Asthma symptoms cough", US_national_yearly!$D:$AM, 10, FALSE), 1)</f>
        <v>6.3707663921312822E-3</v>
      </c>
      <c r="S6" s="7">
        <f>$B6 * IFERROR(VLOOKUP("buildings|NOx|Asthma symptoms cough", US_national_yearly!$D:$AM, 27, FALSE) / VLOOKUP("buildings|NOx|Asthma symptoms cough", US_national_yearly!$D:$AM, 10, FALSE), 1)</f>
        <v>6.4033550014892257E-3</v>
      </c>
      <c r="T6" s="7">
        <f>$B6 * IFERROR(VLOOKUP("buildings|NOx|Asthma symptoms cough", US_national_yearly!$D:$AM, 28, FALSE) / VLOOKUP("buildings|NOx|Asthma symptoms cough", US_national_yearly!$D:$AM, 10, FALSE), 1)</f>
        <v>6.4359436108471684E-3</v>
      </c>
      <c r="U6" s="7">
        <f>$B6 * IFERROR(VLOOKUP("buildings|NOx|Asthma symptoms cough", US_national_yearly!$D:$AM, 29, FALSE) / VLOOKUP("buildings|NOx|Asthma symptoms cough", US_national_yearly!$D:$AM, 10, FALSE), 1)</f>
        <v>6.468532220205111E-3</v>
      </c>
      <c r="V6" s="7">
        <f>$B6 * IFERROR(VLOOKUP("buildings|NOx|Asthma symptoms cough", US_national_yearly!$D:$AM, 30, FALSE) / VLOOKUP("buildings|NOx|Asthma symptoms cough", US_national_yearly!$D:$AM, 10, FALSE), 1)</f>
        <v>6.5011208295630554E-3</v>
      </c>
      <c r="W6" s="7">
        <f>$B6 * IFERROR(VLOOKUP("buildings|NOx|Asthma symptoms cough", US_national_yearly!$D:$AM, 31, FALSE) / VLOOKUP("buildings|NOx|Asthma symptoms cough", US_national_yearly!$D:$AM, 10, FALSE), 1)</f>
        <v>6.533709438920998E-3</v>
      </c>
      <c r="X6" s="7">
        <f>$B6 * IFERROR(VLOOKUP("buildings|NOx|Asthma symptoms cough", US_national_yearly!$D:$AM, 32, FALSE) / VLOOKUP("buildings|NOx|Asthma symptoms cough", US_national_yearly!$D:$AM, 10, FALSE), 1)</f>
        <v>6.5639887412939982E-3</v>
      </c>
      <c r="Y6" s="7">
        <f>$B6 * IFERROR(VLOOKUP("buildings|NOx|Asthma symptoms cough", US_national_yearly!$D:$AM, 33, FALSE) / VLOOKUP("buildings|NOx|Asthma symptoms cough", US_national_yearly!$D:$AM, 10, FALSE), 1)</f>
        <v>6.5942680436670001E-3</v>
      </c>
      <c r="Z6" s="7">
        <f>$B6 * IFERROR(VLOOKUP("buildings|NOx|Asthma symptoms cough", US_national_yearly!$D:$AM, 34, FALSE) / VLOOKUP("buildings|NOx|Asthma symptoms cough", US_national_yearly!$D:$AM, 10, FALSE), 1)</f>
        <v>6.6245473460400019E-3</v>
      </c>
      <c r="AA6" s="7">
        <f>$B6 * IFERROR(VLOOKUP("buildings|NOx|Asthma symptoms cough", US_national_yearly!$D:$AM, 35, FALSE) / VLOOKUP("buildings|NOx|Asthma symptoms cough", US_national_yearly!$D:$AM, 10, FALSE), 1)</f>
        <v>6.6548266484130038E-3</v>
      </c>
      <c r="AB6" s="7">
        <f>$B6 * IFERROR(VLOOKUP("buildings|NOx|Asthma symptoms cough", US_national_yearly!$D:$AM, 36, FALSE) / VLOOKUP("buildings|NOx|Asthma symptoms cough", US_national_yearly!$D:$AM, 10, FALSE), 1)</f>
        <v>6.6851059507860048E-3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7.677627568076148E-3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7.782697992381086E-3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7.8877684166860241E-3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7.9928388409909613E-3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8.0979092652959002E-3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8.1818802222063322E-3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8.265851179116766E-3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8.2949110469467471E-3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8.3239709147767248E-3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8.3530307826067077E-3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8.3820906504366872E-3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8.4111505182666683E-3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8.4447528012424125E-3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8.4783550842181549E-3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8.5119573671938991E-3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8.5455596501696415E-3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8.5791619331453857E-3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8.6230472270586375E-3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8.6669325209718893E-3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8.7108178148851429E-3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8.754703108798393E-3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8.7985884027116448E-3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8.839363879465028E-3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8.8801393562184076E-3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8.9209148329717908E-3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8.9616903097251704E-3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9.0024657864785518E-3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1.173011194498331E-2</v>
      </c>
      <c r="C8" s="7">
        <f>$B8 * IFERROR(VLOOKUP("buildings|NOx|Asthma symptoms wheeze", US_national_yearly!$D:$AM, 11, FALSE) / VLOOKUP("buildings|NOx|Asthma symptoms wheeze", US_national_yearly!$D:$AM, 10, FALSE), 1)</f>
        <v>1.1890641722079435E-2</v>
      </c>
      <c r="D8" s="7">
        <f>$B8 * IFERROR(VLOOKUP("buildings|NOx|Asthma symptoms wheeze", US_national_yearly!$D:$AM, 12, FALSE) / VLOOKUP("buildings|NOx|Asthma symptoms wheeze", US_national_yearly!$D:$AM, 10, FALSE), 1)</f>
        <v>1.205117149917556E-2</v>
      </c>
      <c r="E8" s="7">
        <f>$B8 * IFERROR(VLOOKUP("buildings|NOx|Asthma symptoms wheeze", US_national_yearly!$D:$AM, 13, FALSE) / VLOOKUP("buildings|NOx|Asthma symptoms wheeze", US_national_yearly!$D:$AM, 10, FALSE), 1)</f>
        <v>1.2211701276271683E-2</v>
      </c>
      <c r="F8" s="7">
        <f>$B8 * IFERROR(VLOOKUP("buildings|NOx|Asthma symptoms wheeze", US_national_yearly!$D:$AM, 14, FALSE) / VLOOKUP("buildings|NOx|Asthma symptoms wheeze", US_national_yearly!$D:$AM, 10, FALSE), 1)</f>
        <v>1.2372231053367809E-2</v>
      </c>
      <c r="G8" s="7">
        <f>$B8 * IFERROR(VLOOKUP("buildings|NOx|Asthma symptoms wheeze", US_national_yearly!$D:$AM, 15, FALSE) / VLOOKUP("buildings|NOx|Asthma symptoms wheeze", US_national_yearly!$D:$AM, 10, FALSE), 1)</f>
        <v>1.2500524425277921E-2</v>
      </c>
      <c r="H8" s="7">
        <f>$B8 * IFERROR(VLOOKUP("buildings|NOx|Asthma symptoms wheeze", US_national_yearly!$D:$AM, 16, FALSE) / VLOOKUP("buildings|NOx|Asthma symptoms wheeze", US_national_yearly!$D:$AM, 10, FALSE), 1)</f>
        <v>1.262881779718803E-2</v>
      </c>
      <c r="I8" s="7">
        <f>$B8 * IFERROR(VLOOKUP("buildings|NOx|Asthma symptoms wheeze", US_national_yearly!$D:$AM, 17, FALSE) / VLOOKUP("buildings|NOx|Asthma symptoms wheeze", US_national_yearly!$D:$AM, 10, FALSE), 1)</f>
        <v>1.2673216344086644E-2</v>
      </c>
      <c r="J8" s="7">
        <f>$B8 * IFERROR(VLOOKUP("buildings|NOx|Asthma symptoms wheeze", US_national_yearly!$D:$AM, 18, FALSE) / VLOOKUP("buildings|NOx|Asthma symptoms wheeze", US_national_yearly!$D:$AM, 10, FALSE), 1)</f>
        <v>1.2717614890985256E-2</v>
      </c>
      <c r="K8" s="7">
        <f>$B8 * IFERROR(VLOOKUP("buildings|NOx|Asthma symptoms wheeze", US_national_yearly!$D:$AM, 19, FALSE) / VLOOKUP("buildings|NOx|Asthma symptoms wheeze", US_national_yearly!$D:$AM, 10, FALSE), 1)</f>
        <v>1.2762013437883869E-2</v>
      </c>
      <c r="L8" s="7">
        <f>$B8 * IFERROR(VLOOKUP("buildings|NOx|Asthma symptoms wheeze", US_national_yearly!$D:$AM, 20, FALSE) / VLOOKUP("buildings|NOx|Asthma symptoms wheeze", US_national_yearly!$D:$AM, 10, FALSE), 1)</f>
        <v>1.280641198478248E-2</v>
      </c>
      <c r="M8" s="7">
        <f>$B8 * IFERROR(VLOOKUP("buildings|NOx|Asthma symptoms wheeze", US_national_yearly!$D:$AM, 21, FALSE) / VLOOKUP("buildings|NOx|Asthma symptoms wheeze", US_national_yearly!$D:$AM, 10, FALSE), 1)</f>
        <v>1.2850810531681096E-2</v>
      </c>
      <c r="N8" s="7">
        <f>$B8 * IFERROR(VLOOKUP("buildings|NOx|Asthma symptoms wheeze", US_national_yearly!$D:$AM, 22, FALSE) / VLOOKUP("buildings|NOx|Asthma symptoms wheeze", US_national_yearly!$D:$AM, 10, FALSE), 1)</f>
        <v>1.2902149117944808E-2</v>
      </c>
      <c r="O8" s="7">
        <f>$B8 * IFERROR(VLOOKUP("buildings|NOx|Asthma symptoms wheeze", US_national_yearly!$D:$AM, 23, FALSE) / VLOOKUP("buildings|NOx|Asthma symptoms wheeze", US_national_yearly!$D:$AM, 10, FALSE), 1)</f>
        <v>1.2953487704208524E-2</v>
      </c>
      <c r="P8" s="7">
        <f>$B8 * IFERROR(VLOOKUP("buildings|NOx|Asthma symptoms wheeze", US_national_yearly!$D:$AM, 24, FALSE) / VLOOKUP("buildings|NOx|Asthma symptoms wheeze", US_national_yearly!$D:$AM, 10, FALSE), 1)</f>
        <v>1.3004826290472237E-2</v>
      </c>
      <c r="Q8" s="7">
        <f>$B8 * IFERROR(VLOOKUP("buildings|NOx|Asthma symptoms wheeze", US_national_yearly!$D:$AM, 25, FALSE) / VLOOKUP("buildings|NOx|Asthma symptoms wheeze", US_national_yearly!$D:$AM, 10, FALSE), 1)</f>
        <v>1.3056164876735953E-2</v>
      </c>
      <c r="R8" s="7">
        <f>$B8 * IFERROR(VLOOKUP("buildings|NOx|Asthma symptoms wheeze", US_national_yearly!$D:$AM, 26, FALSE) / VLOOKUP("buildings|NOx|Asthma symptoms wheeze", US_national_yearly!$D:$AM, 10, FALSE), 1)</f>
        <v>1.3107503462999666E-2</v>
      </c>
      <c r="S8" s="7">
        <f>$B8 * IFERROR(VLOOKUP("buildings|NOx|Asthma symptoms wheeze", US_national_yearly!$D:$AM, 27, FALSE) / VLOOKUP("buildings|NOx|Asthma symptoms wheeze", US_national_yearly!$D:$AM, 10, FALSE), 1)</f>
        <v>1.3174552744681057E-2</v>
      </c>
      <c r="T8" s="7">
        <f>$B8 * IFERROR(VLOOKUP("buildings|NOx|Asthma symptoms wheeze", US_national_yearly!$D:$AM, 28, FALSE) / VLOOKUP("buildings|NOx|Asthma symptoms wheeze", US_national_yearly!$D:$AM, 10, FALSE), 1)</f>
        <v>1.3241602026362447E-2</v>
      </c>
      <c r="U8" s="7">
        <f>$B8 * IFERROR(VLOOKUP("buildings|NOx|Asthma symptoms wheeze", US_national_yearly!$D:$AM, 29, FALSE) / VLOOKUP("buildings|NOx|Asthma symptoms wheeze", US_national_yearly!$D:$AM, 10, FALSE), 1)</f>
        <v>1.3308651308043838E-2</v>
      </c>
      <c r="V8" s="7">
        <f>$B8 * IFERROR(VLOOKUP("buildings|NOx|Asthma symptoms wheeze", US_national_yearly!$D:$AM, 30, FALSE) / VLOOKUP("buildings|NOx|Asthma symptoms wheeze", US_national_yearly!$D:$AM, 10, FALSE), 1)</f>
        <v>1.337570058972523E-2</v>
      </c>
      <c r="W8" s="7">
        <f>$B8 * IFERROR(VLOOKUP("buildings|NOx|Asthma symptoms wheeze", US_national_yearly!$D:$AM, 31, FALSE) / VLOOKUP("buildings|NOx|Asthma symptoms wheeze", US_national_yearly!$D:$AM, 10, FALSE), 1)</f>
        <v>1.3442749871406619E-2</v>
      </c>
      <c r="X8" s="7">
        <f>$B8 * IFERROR(VLOOKUP("buildings|NOx|Asthma symptoms wheeze", US_national_yearly!$D:$AM, 32, FALSE) / VLOOKUP("buildings|NOx|Asthma symptoms wheeze", US_national_yearly!$D:$AM, 10, FALSE), 1)</f>
        <v>1.3505047880251631E-2</v>
      </c>
      <c r="Y8" s="7">
        <f>$B8 * IFERROR(VLOOKUP("buildings|NOx|Asthma symptoms wheeze", US_national_yearly!$D:$AM, 33, FALSE) / VLOOKUP("buildings|NOx|Asthma symptoms wheeze", US_national_yearly!$D:$AM, 10, FALSE), 1)</f>
        <v>1.3567345889096643E-2</v>
      </c>
      <c r="Z8" s="7">
        <f>$B8 * IFERROR(VLOOKUP("buildings|NOx|Asthma symptoms wheeze", US_national_yearly!$D:$AM, 34, FALSE) / VLOOKUP("buildings|NOx|Asthma symptoms wheeze", US_national_yearly!$D:$AM, 10, FALSE), 1)</f>
        <v>1.3629643897941657E-2</v>
      </c>
      <c r="AA8" s="7">
        <f>$B8 * IFERROR(VLOOKUP("buildings|NOx|Asthma symptoms wheeze", US_national_yearly!$D:$AM, 35, FALSE) / VLOOKUP("buildings|NOx|Asthma symptoms wheeze", US_national_yearly!$D:$AM, 10, FALSE), 1)</f>
        <v>1.3691941906786667E-2</v>
      </c>
      <c r="AB8" s="7">
        <f>$B8 * IFERROR(VLOOKUP("buildings|NOx|Asthma symptoms wheeze", US_national_yearly!$D:$AM, 36, FALSE) / VLOOKUP("buildings|NOx|Asthma symptoms wheeze", US_national_yearly!$D:$AM, 10, FALSE), 1)</f>
        <v>1.3754239915631683E-2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2.5925658772112245E-4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2.6573394517547796E-4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2.7221130262983342E-4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2.7868866008418894E-4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2.851660175385444E-4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2.9135856836948957E-4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2.9755111920043464E-4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3.0281154523318119E-4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3.0807197126592775E-4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3.1333239729867425E-4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3.1859282333142081E-4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3.2385324936416737E-4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3.273698152231044E-4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3.3088638108204143E-4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3.3440294694097846E-4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3.3791951279991549E-4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3.4143607865885246E-4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3.4332155477792071E-4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3.45207030896989E-4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3.4709250701605725E-4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3.4897798313512549E-4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3.5086345925419368E-4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3.5215415662309273E-4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3.5344485399199166E-4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3.5473555136089071E-4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3.5602624872978965E-4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3.5731694609868864E-4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1.4703463738182476E-3</v>
      </c>
      <c r="C13" s="7">
        <f>$B13 * IFERROR(VLOOKUP("buildings|NOx|Non-fatal heart attacks", US_national_yearly!$D:$AM, 11, FALSE) / VLOOKUP("buildings|NOx|Non-fatal heart attacks", US_national_yearly!$D:$AM, 10, FALSE), 1)</f>
        <v>1.5124099857383177E-3</v>
      </c>
      <c r="D13" s="7">
        <f>$B13 * IFERROR(VLOOKUP("buildings|NOx|Non-fatal heart attacks", US_national_yearly!$D:$AM, 12, FALSE) / VLOOKUP("buildings|NOx|Non-fatal heart attacks", US_national_yearly!$D:$AM, 10, FALSE), 1)</f>
        <v>1.5544735976583885E-3</v>
      </c>
      <c r="E13" s="7">
        <f>$B13 * IFERROR(VLOOKUP("buildings|NOx|Non-fatal heart attacks", US_national_yearly!$D:$AM, 13, FALSE) / VLOOKUP("buildings|NOx|Non-fatal heart attacks", US_national_yearly!$D:$AM, 10, FALSE), 1)</f>
        <v>1.5965372095784586E-3</v>
      </c>
      <c r="F13" s="7">
        <f>$B13 * IFERROR(VLOOKUP("buildings|NOx|Non-fatal heart attacks", US_national_yearly!$D:$AM, 14, FALSE) / VLOOKUP("buildings|NOx|Non-fatal heart attacks", US_national_yearly!$D:$AM, 10, FALSE), 1)</f>
        <v>1.6386008214985287E-3</v>
      </c>
      <c r="G13" s="7">
        <f>$B13 * IFERROR(VLOOKUP("buildings|NOx|Non-fatal heart attacks", US_national_yearly!$D:$AM, 15, FALSE) / VLOOKUP("buildings|NOx|Non-fatal heart attacks", US_national_yearly!$D:$AM, 10, FALSE), 1)</f>
        <v>1.6779175380818045E-3</v>
      </c>
      <c r="H13" s="7">
        <f>$B13 * IFERROR(VLOOKUP("buildings|NOx|Non-fatal heart attacks", US_national_yearly!$D:$AM, 16, FALSE) / VLOOKUP("buildings|NOx|Non-fatal heart attacks", US_national_yearly!$D:$AM, 10, FALSE), 1)</f>
        <v>1.7172342546650809E-3</v>
      </c>
      <c r="I13" s="7">
        <f>$B13 * IFERROR(VLOOKUP("buildings|NOx|Non-fatal heart attacks", US_national_yearly!$D:$AM, 17, FALSE) / VLOOKUP("buildings|NOx|Non-fatal heart attacks", US_national_yearly!$D:$AM, 10, FALSE), 1)</f>
        <v>1.7482523177848289E-3</v>
      </c>
      <c r="J13" s="7">
        <f>$B13 * IFERROR(VLOOKUP("buildings|NOx|Non-fatal heart attacks", US_national_yearly!$D:$AM, 18, FALSE) / VLOOKUP("buildings|NOx|Non-fatal heart attacks", US_national_yearly!$D:$AM, 10, FALSE), 1)</f>
        <v>1.7792703809045771E-3</v>
      </c>
      <c r="K13" s="7">
        <f>$B13 * IFERROR(VLOOKUP("buildings|NOx|Non-fatal heart attacks", US_national_yearly!$D:$AM, 19, FALSE) / VLOOKUP("buildings|NOx|Non-fatal heart attacks", US_national_yearly!$D:$AM, 10, FALSE), 1)</f>
        <v>1.8102884440243259E-3</v>
      </c>
      <c r="L13" s="7">
        <f>$B13 * IFERROR(VLOOKUP("buildings|NOx|Non-fatal heart attacks", US_national_yearly!$D:$AM, 20, FALSE) / VLOOKUP("buildings|NOx|Non-fatal heart attacks", US_national_yearly!$D:$AM, 10, FALSE), 1)</f>
        <v>1.8413065071440731E-3</v>
      </c>
      <c r="M13" s="7">
        <f>$B13 * IFERROR(VLOOKUP("buildings|NOx|Non-fatal heart attacks", US_national_yearly!$D:$AM, 21, FALSE) / VLOOKUP("buildings|NOx|Non-fatal heart attacks", US_national_yearly!$D:$AM, 10, FALSE), 1)</f>
        <v>1.8723245702638219E-3</v>
      </c>
      <c r="N13" s="7">
        <f>$B13 * IFERROR(VLOOKUP("buildings|NOx|Non-fatal heart attacks", US_national_yearly!$D:$AM, 22, FALSE) / VLOOKUP("buildings|NOx|Non-fatal heart attacks", US_national_yearly!$D:$AM, 10, FALSE), 1)</f>
        <v>1.8909921809317565E-3</v>
      </c>
      <c r="O13" s="7">
        <f>$B13 * IFERROR(VLOOKUP("buildings|NOx|Non-fatal heart attacks", US_national_yearly!$D:$AM, 23, FALSE) / VLOOKUP("buildings|NOx|Non-fatal heart attacks", US_national_yearly!$D:$AM, 10, FALSE), 1)</f>
        <v>1.9096597915996911E-3</v>
      </c>
      <c r="P13" s="7">
        <f>$B13 * IFERROR(VLOOKUP("buildings|NOx|Non-fatal heart attacks", US_national_yearly!$D:$AM, 24, FALSE) / VLOOKUP("buildings|NOx|Non-fatal heart attacks", US_national_yearly!$D:$AM, 10, FALSE), 1)</f>
        <v>1.928327402267626E-3</v>
      </c>
      <c r="Q13" s="7">
        <f>$B13 * IFERROR(VLOOKUP("buildings|NOx|Non-fatal heart attacks", US_national_yearly!$D:$AM, 25, FALSE) / VLOOKUP("buildings|NOx|Non-fatal heart attacks", US_national_yearly!$D:$AM, 10, FALSE), 1)</f>
        <v>1.9469950129355606E-3</v>
      </c>
      <c r="R13" s="7">
        <f>$B13 * IFERROR(VLOOKUP("buildings|NOx|Non-fatal heart attacks", US_national_yearly!$D:$AM, 26, FALSE) / VLOOKUP("buildings|NOx|Non-fatal heart attacks", US_national_yearly!$D:$AM, 10, FALSE), 1)</f>
        <v>1.9656626236034952E-3</v>
      </c>
      <c r="S13" s="7">
        <f>$B13 * IFERROR(VLOOKUP("buildings|NOx|Non-fatal heart attacks", US_national_yearly!$D:$AM, 27, FALSE) / VLOOKUP("buildings|NOx|Non-fatal heart attacks", US_national_yearly!$D:$AM, 10, FALSE), 1)</f>
        <v>1.9741459182242523E-3</v>
      </c>
      <c r="T13" s="7">
        <f>$B13 * IFERROR(VLOOKUP("buildings|NOx|Non-fatal heart attacks", US_national_yearly!$D:$AM, 28, FALSE) / VLOOKUP("buildings|NOx|Non-fatal heart attacks", US_national_yearly!$D:$AM, 10, FALSE), 1)</f>
        <v>1.9826292128450104E-3</v>
      </c>
      <c r="U13" s="7">
        <f>$B13 * IFERROR(VLOOKUP("buildings|NOx|Non-fatal heart attacks", US_national_yearly!$D:$AM, 29, FALSE) / VLOOKUP("buildings|NOx|Non-fatal heart attacks", US_national_yearly!$D:$AM, 10, FALSE), 1)</f>
        <v>1.9911125074657675E-3</v>
      </c>
      <c r="V13" s="7">
        <f>$B13 * IFERROR(VLOOKUP("buildings|NOx|Non-fatal heart attacks", US_national_yearly!$D:$AM, 30, FALSE) / VLOOKUP("buildings|NOx|Non-fatal heart attacks", US_national_yearly!$D:$AM, 10, FALSE), 1)</f>
        <v>1.9995958020865246E-3</v>
      </c>
      <c r="W13" s="7">
        <f>$B13 * IFERROR(VLOOKUP("buildings|NOx|Non-fatal heart attacks", US_national_yearly!$D:$AM, 31, FALSE) / VLOOKUP("buildings|NOx|Non-fatal heart attacks", US_national_yearly!$D:$AM, 10, FALSE), 1)</f>
        <v>2.0080790967072822E-3</v>
      </c>
      <c r="X13" s="7">
        <f>$B13 * IFERROR(VLOOKUP("buildings|NOx|Non-fatal heart attacks", US_national_yearly!$D:$AM, 32, FALSE) / VLOOKUP("buildings|NOx|Non-fatal heart attacks", US_national_yearly!$D:$AM, 10, FALSE), 1)</f>
        <v>2.0137537300011737E-3</v>
      </c>
      <c r="Y13" s="7">
        <f>$B13 * IFERROR(VLOOKUP("buildings|NOx|Non-fatal heart attacks", US_national_yearly!$D:$AM, 33, FALSE) / VLOOKUP("buildings|NOx|Non-fatal heart attacks", US_national_yearly!$D:$AM, 10, FALSE), 1)</f>
        <v>2.0194283632950652E-3</v>
      </c>
      <c r="Z13" s="7">
        <f>$B13 * IFERROR(VLOOKUP("buildings|NOx|Non-fatal heart attacks", US_national_yearly!$D:$AM, 34, FALSE) / VLOOKUP("buildings|NOx|Non-fatal heart attacks", US_national_yearly!$D:$AM, 10, FALSE), 1)</f>
        <v>2.0251029965889572E-3</v>
      </c>
      <c r="AA13" s="7">
        <f>$B13 * IFERROR(VLOOKUP("buildings|NOx|Non-fatal heart attacks", US_national_yearly!$D:$AM, 35, FALSE) / VLOOKUP("buildings|NOx|Non-fatal heart attacks", US_national_yearly!$D:$AM, 10, FALSE), 1)</f>
        <v>2.0307776298828491E-3</v>
      </c>
      <c r="AB13" s="7">
        <f>$B13 * IFERROR(VLOOKUP("buildings|NOx|Non-fatal heart attacks", US_national_yearly!$D:$AM, 36, FALSE) / VLOOKUP("buildings|NOx|Non-fatal heart attacks", US_national_yearly!$D:$AM, 10, FALSE), 1)</f>
        <v>2.0364522631767406E-3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0.81030803500380544</v>
      </c>
      <c r="C14" s="7">
        <f>$B14 * IFERROR(VLOOKUP("buildings|NOx|Minor restricted activity days", US_national_yearly!$D:$AM, 11, FALSE) / VLOOKUP("buildings|NOx|Minor restricted activity days", US_national_yearly!$D:$AM, 10, FALSE), 1)</f>
        <v>0.81156544144202769</v>
      </c>
      <c r="D14" s="7">
        <f>$B14 * IFERROR(VLOOKUP("buildings|NOx|Minor restricted activity days", US_national_yearly!$D:$AM, 12, FALSE) / VLOOKUP("buildings|NOx|Minor restricted activity days", US_national_yearly!$D:$AM, 10, FALSE), 1)</f>
        <v>0.81282284788024983</v>
      </c>
      <c r="E14" s="7">
        <f>$B14 * IFERROR(VLOOKUP("buildings|NOx|Minor restricted activity days", US_national_yearly!$D:$AM, 13, FALSE) / VLOOKUP("buildings|NOx|Minor restricted activity days", US_national_yearly!$D:$AM, 10, FALSE), 1)</f>
        <v>0.81408025431847209</v>
      </c>
      <c r="F14" s="7">
        <f>$B14 * IFERROR(VLOOKUP("buildings|NOx|Minor restricted activity days", US_national_yearly!$D:$AM, 14, FALSE) / VLOOKUP("buildings|NOx|Minor restricted activity days", US_national_yearly!$D:$AM, 10, FALSE), 1)</f>
        <v>0.81533766075669434</v>
      </c>
      <c r="G14" s="7">
        <f>$B14 * IFERROR(VLOOKUP("buildings|NOx|Minor restricted activity days", US_national_yearly!$D:$AM, 15, FALSE) / VLOOKUP("buildings|NOx|Minor restricted activity days", US_national_yearly!$D:$AM, 10, FALSE), 1)</f>
        <v>0.81759659360496018</v>
      </c>
      <c r="H14" s="7">
        <f>$B14 * IFERROR(VLOOKUP("buildings|NOx|Minor restricted activity days", US_national_yearly!$D:$AM, 16, FALSE) / VLOOKUP("buildings|NOx|Minor restricted activity days", US_national_yearly!$D:$AM, 10, FALSE), 1)</f>
        <v>0.81985552645322601</v>
      </c>
      <c r="I14" s="7">
        <f>$B14 * IFERROR(VLOOKUP("buildings|NOx|Minor restricted activity days", US_national_yearly!$D:$AM, 17, FALSE) / VLOOKUP("buildings|NOx|Minor restricted activity days", US_national_yearly!$D:$AM, 10, FALSE), 1)</f>
        <v>0.82425980103054963</v>
      </c>
      <c r="J14" s="7">
        <f>$B14 * IFERROR(VLOOKUP("buildings|NOx|Minor restricted activity days", US_national_yearly!$D:$AM, 18, FALSE) / VLOOKUP("buildings|NOx|Minor restricted activity days", US_national_yearly!$D:$AM, 10, FALSE), 1)</f>
        <v>0.82866407560787325</v>
      </c>
      <c r="K14" s="7">
        <f>$B14 * IFERROR(VLOOKUP("buildings|NOx|Minor restricted activity days", US_national_yearly!$D:$AM, 19, FALSE) / VLOOKUP("buildings|NOx|Minor restricted activity days", US_national_yearly!$D:$AM, 10, FALSE), 1)</f>
        <v>0.83306835018519687</v>
      </c>
      <c r="L14" s="7">
        <f>$B14 * IFERROR(VLOOKUP("buildings|NOx|Minor restricted activity days", US_national_yearly!$D:$AM, 20, FALSE) / VLOOKUP("buildings|NOx|Minor restricted activity days", US_national_yearly!$D:$AM, 10, FALSE), 1)</f>
        <v>0.83747262476252049</v>
      </c>
      <c r="M14" s="7">
        <f>$B14 * IFERROR(VLOOKUP("buildings|NOx|Minor restricted activity days", US_national_yearly!$D:$AM, 21, FALSE) / VLOOKUP("buildings|NOx|Minor restricted activity days", US_national_yearly!$D:$AM, 10, FALSE), 1)</f>
        <v>0.84187689933984411</v>
      </c>
      <c r="N14" s="7">
        <f>$B14 * IFERROR(VLOOKUP("buildings|NOx|Minor restricted activity days", US_national_yearly!$D:$AM, 22, FALSE) / VLOOKUP("buildings|NOx|Minor restricted activity days", US_national_yearly!$D:$AM, 10, FALSE), 1)</f>
        <v>0.84817769103981622</v>
      </c>
      <c r="O14" s="7">
        <f>$B14 * IFERROR(VLOOKUP("buildings|NOx|Minor restricted activity days", US_national_yearly!$D:$AM, 23, FALSE) / VLOOKUP("buildings|NOx|Minor restricted activity days", US_national_yearly!$D:$AM, 10, FALSE), 1)</f>
        <v>0.85447848273978821</v>
      </c>
      <c r="P14" s="7">
        <f>$B14 * IFERROR(VLOOKUP("buildings|NOx|Minor restricted activity days", US_national_yearly!$D:$AM, 24, FALSE) / VLOOKUP("buildings|NOx|Minor restricted activity days", US_national_yearly!$D:$AM, 10, FALSE), 1)</f>
        <v>0.86077927443976043</v>
      </c>
      <c r="Q14" s="7">
        <f>$B14 * IFERROR(VLOOKUP("buildings|NOx|Minor restricted activity days", US_national_yearly!$D:$AM, 25, FALSE) / VLOOKUP("buildings|NOx|Minor restricted activity days", US_national_yearly!$D:$AM, 10, FALSE), 1)</f>
        <v>0.86708006613973232</v>
      </c>
      <c r="R14" s="7">
        <f>$B14 * IFERROR(VLOOKUP("buildings|NOx|Minor restricted activity days", US_national_yearly!$D:$AM, 26, FALSE) / VLOOKUP("buildings|NOx|Minor restricted activity days", US_national_yearly!$D:$AM, 10, FALSE), 1)</f>
        <v>0.87338085783970432</v>
      </c>
      <c r="S14" s="7">
        <f>$B14 * IFERROR(VLOOKUP("buildings|NOx|Minor restricted activity days", US_national_yearly!$D:$AM, 27, FALSE) / VLOOKUP("buildings|NOx|Minor restricted activity days", US_national_yearly!$D:$AM, 10, FALSE), 1)</f>
        <v>0.87967983571282082</v>
      </c>
      <c r="T14" s="7">
        <f>$B14 * IFERROR(VLOOKUP("buildings|NOx|Minor restricted activity days", US_national_yearly!$D:$AM, 28, FALSE) / VLOOKUP("buildings|NOx|Minor restricted activity days", US_national_yearly!$D:$AM, 10, FALSE), 1)</f>
        <v>0.88597881358593733</v>
      </c>
      <c r="U14" s="7">
        <f>$B14 * IFERROR(VLOOKUP("buildings|NOx|Minor restricted activity days", US_national_yearly!$D:$AM, 29, FALSE) / VLOOKUP("buildings|NOx|Minor restricted activity days", US_national_yearly!$D:$AM, 10, FALSE), 1)</f>
        <v>0.89227779145905406</v>
      </c>
      <c r="V14" s="7">
        <f>$B14 * IFERROR(VLOOKUP("buildings|NOx|Minor restricted activity days", US_national_yearly!$D:$AM, 30, FALSE) / VLOOKUP("buildings|NOx|Minor restricted activity days", US_national_yearly!$D:$AM, 10, FALSE), 1)</f>
        <v>0.89857676933217057</v>
      </c>
      <c r="W14" s="7">
        <f>$B14 * IFERROR(VLOOKUP("buildings|NOx|Minor restricted activity days", US_national_yearly!$D:$AM, 31, FALSE) / VLOOKUP("buildings|NOx|Minor restricted activity days", US_national_yearly!$D:$AM, 10, FALSE), 1)</f>
        <v>0.90487574720528707</v>
      </c>
      <c r="X14" s="7">
        <f>$B14 * IFERROR(VLOOKUP("buildings|NOx|Minor restricted activity days", US_national_yearly!$D:$AM, 32, FALSE) / VLOOKUP("buildings|NOx|Minor restricted activity days", US_national_yearly!$D:$AM, 10, FALSE), 1)</f>
        <v>0.91020305153496717</v>
      </c>
      <c r="Y14" s="7">
        <f>$B14 * IFERROR(VLOOKUP("buildings|NOx|Minor restricted activity days", US_national_yearly!$D:$AM, 33, FALSE) / VLOOKUP("buildings|NOx|Minor restricted activity days", US_national_yearly!$D:$AM, 10, FALSE), 1)</f>
        <v>0.91553035586464748</v>
      </c>
      <c r="Z14" s="7">
        <f>$B14 * IFERROR(VLOOKUP("buildings|NOx|Minor restricted activity days", US_national_yearly!$D:$AM, 34, FALSE) / VLOOKUP("buildings|NOx|Minor restricted activity days", US_national_yearly!$D:$AM, 10, FALSE), 1)</f>
        <v>0.92085766019432747</v>
      </c>
      <c r="AA14" s="7">
        <f>$B14 * IFERROR(VLOOKUP("buildings|NOx|Minor restricted activity days", US_national_yearly!$D:$AM, 35, FALSE) / VLOOKUP("buildings|NOx|Minor restricted activity days", US_national_yearly!$D:$AM, 10, FALSE), 1)</f>
        <v>0.92618496452400778</v>
      </c>
      <c r="AB14" s="7">
        <f>$B14 * IFERROR(VLOOKUP("buildings|NOx|Minor restricted activity days", US_national_yearly!$D:$AM, 36, FALSE) / VLOOKUP("buildings|NOx|Minor restricted activity days", US_national_yearly!$D:$AM, 10, FALSE), 1)</f>
        <v>0.93151226885368787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0.13690867292206521</v>
      </c>
      <c r="C15" s="7">
        <f>$B15 * IFERROR(VLOOKUP("buildings|NOx|Work loss days", US_national_yearly!$D:$AM, 11, FALSE) / VLOOKUP("buildings|NOx|Work loss days", US_national_yearly!$D:$AM, 10, FALSE), 1)</f>
        <v>0.13721558589436844</v>
      </c>
      <c r="D15" s="7">
        <f>$B15 * IFERROR(VLOOKUP("buildings|NOx|Work loss days", US_national_yearly!$D:$AM, 12, FALSE) / VLOOKUP("buildings|NOx|Work loss days", US_national_yearly!$D:$AM, 10, FALSE), 1)</f>
        <v>0.13752249886667164</v>
      </c>
      <c r="E15" s="7">
        <f>$B15 * IFERROR(VLOOKUP("buildings|NOx|Work loss days", US_national_yearly!$D:$AM, 13, FALSE) / VLOOKUP("buildings|NOx|Work loss days", US_national_yearly!$D:$AM, 10, FALSE), 1)</f>
        <v>0.13782941183897485</v>
      </c>
      <c r="F15" s="7">
        <f>$B15 * IFERROR(VLOOKUP("buildings|NOx|Work loss days", US_national_yearly!$D:$AM, 14, FALSE) / VLOOKUP("buildings|NOx|Work loss days", US_national_yearly!$D:$AM, 10, FALSE), 1)</f>
        <v>0.13813632481127808</v>
      </c>
      <c r="G15" s="7">
        <f>$B15 * IFERROR(VLOOKUP("buildings|NOx|Work loss days", US_national_yearly!$D:$AM, 15, FALSE) / VLOOKUP("buildings|NOx|Work loss days", US_national_yearly!$D:$AM, 10, FALSE), 1)</f>
        <v>0.13858337796501258</v>
      </c>
      <c r="H15" s="7">
        <f>$B15 * IFERROR(VLOOKUP("buildings|NOx|Work loss days", US_national_yearly!$D:$AM, 16, FALSE) / VLOOKUP("buildings|NOx|Work loss days", US_national_yearly!$D:$AM, 10, FALSE), 1)</f>
        <v>0.13903043111874708</v>
      </c>
      <c r="I15" s="7">
        <f>$B15 * IFERROR(VLOOKUP("buildings|NOx|Work loss days", US_national_yearly!$D:$AM, 17, FALSE) / VLOOKUP("buildings|NOx|Work loss days", US_national_yearly!$D:$AM, 10, FALSE), 1)</f>
        <v>0.13975345081820004</v>
      </c>
      <c r="J15" s="7">
        <f>$B15 * IFERROR(VLOOKUP("buildings|NOx|Work loss days", US_national_yearly!$D:$AM, 18, FALSE) / VLOOKUP("buildings|NOx|Work loss days", US_national_yearly!$D:$AM, 10, FALSE), 1)</f>
        <v>0.14047647051765294</v>
      </c>
      <c r="K15" s="7">
        <f>$B15 * IFERROR(VLOOKUP("buildings|NOx|Work loss days", US_national_yearly!$D:$AM, 19, FALSE) / VLOOKUP("buildings|NOx|Work loss days", US_national_yearly!$D:$AM, 10, FALSE), 1)</f>
        <v>0.14119949021710587</v>
      </c>
      <c r="L15" s="7">
        <f>$B15 * IFERROR(VLOOKUP("buildings|NOx|Work loss days", US_national_yearly!$D:$AM, 20, FALSE) / VLOOKUP("buildings|NOx|Work loss days", US_national_yearly!$D:$AM, 10, FALSE), 1)</f>
        <v>0.14192250991655883</v>
      </c>
      <c r="M15" s="7">
        <f>$B15 * IFERROR(VLOOKUP("buildings|NOx|Work loss days", US_national_yearly!$D:$AM, 21, FALSE) / VLOOKUP("buildings|NOx|Work loss days", US_national_yearly!$D:$AM, 10, FALSE), 1)</f>
        <v>0.14264552961601173</v>
      </c>
      <c r="N15" s="7">
        <f>$B15 * IFERROR(VLOOKUP("buildings|NOx|Work loss days", US_national_yearly!$D:$AM, 22, FALSE) / VLOOKUP("buildings|NOx|Work loss days", US_national_yearly!$D:$AM, 10, FALSE), 1)</f>
        <v>0.14358617943760932</v>
      </c>
      <c r="O15" s="7">
        <f>$B15 * IFERROR(VLOOKUP("buildings|NOx|Work loss days", US_national_yearly!$D:$AM, 23, FALSE) / VLOOKUP("buildings|NOx|Work loss days", US_national_yearly!$D:$AM, 10, FALSE), 1)</f>
        <v>0.1445268292592069</v>
      </c>
      <c r="P15" s="7">
        <f>$B15 * IFERROR(VLOOKUP("buildings|NOx|Work loss days", US_national_yearly!$D:$AM, 24, FALSE) / VLOOKUP("buildings|NOx|Work loss days", US_national_yearly!$D:$AM, 10, FALSE), 1)</f>
        <v>0.14546747908080446</v>
      </c>
      <c r="Q15" s="7">
        <f>$B15 * IFERROR(VLOOKUP("buildings|NOx|Work loss days", US_national_yearly!$D:$AM, 25, FALSE) / VLOOKUP("buildings|NOx|Work loss days", US_national_yearly!$D:$AM, 10, FALSE), 1)</f>
        <v>0.14640812890240207</v>
      </c>
      <c r="R15" s="7">
        <f>$B15 * IFERROR(VLOOKUP("buildings|NOx|Work loss days", US_national_yearly!$D:$AM, 26, FALSE) / VLOOKUP("buildings|NOx|Work loss days", US_national_yearly!$D:$AM, 10, FALSE), 1)</f>
        <v>0.14734877872399965</v>
      </c>
      <c r="S15" s="7">
        <f>$B15 * IFERROR(VLOOKUP("buildings|NOx|Work loss days", US_national_yearly!$D:$AM, 27, FALSE) / VLOOKUP("buildings|NOx|Work loss days", US_national_yearly!$D:$AM, 10, FALSE), 1)</f>
        <v>0.14839696810253561</v>
      </c>
      <c r="T15" s="7">
        <f>$B15 * IFERROR(VLOOKUP("buildings|NOx|Work loss days", US_national_yearly!$D:$AM, 28, FALSE) / VLOOKUP("buildings|NOx|Work loss days", US_national_yearly!$D:$AM, 10, FALSE), 1)</f>
        <v>0.14944515748107159</v>
      </c>
      <c r="U15" s="7">
        <f>$B15 * IFERROR(VLOOKUP("buildings|NOx|Work loss days", US_national_yearly!$D:$AM, 29, FALSE) / VLOOKUP("buildings|NOx|Work loss days", US_national_yearly!$D:$AM, 10, FALSE), 1)</f>
        <v>0.15049334685960755</v>
      </c>
      <c r="V15" s="7">
        <f>$B15 * IFERROR(VLOOKUP("buildings|NOx|Work loss days", US_national_yearly!$D:$AM, 30, FALSE) / VLOOKUP("buildings|NOx|Work loss days", US_national_yearly!$D:$AM, 10, FALSE), 1)</f>
        <v>0.15154153623814351</v>
      </c>
      <c r="W15" s="7">
        <f>$B15 * IFERROR(VLOOKUP("buildings|NOx|Work loss days", US_national_yearly!$D:$AM, 31, FALSE) / VLOOKUP("buildings|NOx|Work loss days", US_national_yearly!$D:$AM, 10, FALSE), 1)</f>
        <v>0.15258972561667947</v>
      </c>
      <c r="X15" s="7">
        <f>$B15 * IFERROR(VLOOKUP("buildings|NOx|Work loss days", US_national_yearly!$D:$AM, 32, FALSE) / VLOOKUP("buildings|NOx|Work loss days", US_national_yearly!$D:$AM, 10, FALSE), 1)</f>
        <v>0.15349977300303169</v>
      </c>
      <c r="Y15" s="7">
        <f>$B15 * IFERROR(VLOOKUP("buildings|NOx|Work loss days", US_national_yearly!$D:$AM, 33, FALSE) / VLOOKUP("buildings|NOx|Work loss days", US_national_yearly!$D:$AM, 10, FALSE), 1)</f>
        <v>0.15440982038938392</v>
      </c>
      <c r="Z15" s="7">
        <f>$B15 * IFERROR(VLOOKUP("buildings|NOx|Work loss days", US_national_yearly!$D:$AM, 34, FALSE) / VLOOKUP("buildings|NOx|Work loss days", US_national_yearly!$D:$AM, 10, FALSE), 1)</f>
        <v>0.15531986777573614</v>
      </c>
      <c r="AA15" s="7">
        <f>$B15 * IFERROR(VLOOKUP("buildings|NOx|Work loss days", US_national_yearly!$D:$AM, 35, FALSE) / VLOOKUP("buildings|NOx|Work loss days", US_national_yearly!$D:$AM, 10, FALSE), 1)</f>
        <v>0.1562299151620884</v>
      </c>
      <c r="AB15" s="7">
        <f>$B15 * IFERROR(VLOOKUP("buildings|NOx|Work loss days", US_national_yearly!$D:$AM, 36, FALSE) / VLOOKUP("buildings|NOx|Work loss days", US_national_yearly!$D:$AM, 10, FALSE), 1)</f>
        <v>0.15713996254844062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3.8055364325128123E-4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3.917419541785635E-4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4.0293026510584588E-4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4.1411857603312815E-4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4.2530688696041042E-4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4.3593557885281034E-4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4.4656427074521026E-4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4.5550726560001004E-4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4.6445026045480983E-4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4.7339325530960957E-4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4.823362501644093E-4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4.9127924501920898E-4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4.9687339378688526E-4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5.0246754255456132E-4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5.0806169132223749E-4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5.1365584008991377E-4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5.1924998885758984E-4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5.2180611459961169E-4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5.2436224034163332E-4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5.2691836608365506E-4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5.294744918256768E-4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5.3203061756769855E-4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5.3345537624753059E-4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5.3488013492736263E-4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5.3630489360719457E-4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5.3772965228702661E-4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5.3915441096685855E-4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8.7207469861450924E-3</v>
      </c>
      <c r="C2" s="7">
        <f>$B2 * IFERROR(VLOOKUP("buildings|SO2|Premature mortality", US_national_yearly!$D:$AM, 11, FALSE) / VLOOKUP("buildings|SO2|Premature mortality", US_national_yearly!$D:$AM, 10, FALSE), 1)</f>
        <v>8.8312250004705748E-3</v>
      </c>
      <c r="D2" s="7">
        <f>$B2 * IFERROR(VLOOKUP("buildings|SO2|Premature mortality", US_national_yearly!$D:$AM, 12, FALSE) / VLOOKUP("buildings|SO2|Premature mortality", US_national_yearly!$D:$AM, 10, FALSE), 1)</f>
        <v>8.9417030147960572E-3</v>
      </c>
      <c r="E2" s="7">
        <f>$B2 * IFERROR(VLOOKUP("buildings|SO2|Premature mortality", US_national_yearly!$D:$AM, 13, FALSE) / VLOOKUP("buildings|SO2|Premature mortality", US_national_yearly!$D:$AM, 10, FALSE), 1)</f>
        <v>9.0521810291215397E-3</v>
      </c>
      <c r="F2" s="7">
        <f>$B2 * IFERROR(VLOOKUP("buildings|SO2|Premature mortality", US_national_yearly!$D:$AM, 14, FALSE) / VLOOKUP("buildings|SO2|Premature mortality", US_national_yearly!$D:$AM, 10, FALSE), 1)</f>
        <v>9.1626590434470238E-3</v>
      </c>
      <c r="G2" s="7">
        <f>$B2 * IFERROR(VLOOKUP("buildings|SO2|Premature mortality", US_national_yearly!$D:$AM, 15, FALSE) / VLOOKUP("buildings|SO2|Premature mortality", US_national_yearly!$D:$AM, 10, FALSE), 1)</f>
        <v>9.3755277602730232E-3</v>
      </c>
      <c r="H2" s="7">
        <f>$B2 * IFERROR(VLOOKUP("buildings|SO2|Premature mortality", US_national_yearly!$D:$AM, 16, FALSE) / VLOOKUP("buildings|SO2|Premature mortality", US_national_yearly!$D:$AM, 10, FALSE), 1)</f>
        <v>9.5883964770990242E-3</v>
      </c>
      <c r="I2" s="7">
        <f>$B2 * IFERROR(VLOOKUP("buildings|SO2|Premature mortality", US_national_yearly!$D:$AM, 17, FALSE) / VLOOKUP("buildings|SO2|Premature mortality", US_national_yearly!$D:$AM, 10, FALSE), 1)</f>
        <v>9.7291440499820241E-3</v>
      </c>
      <c r="J2" s="7">
        <f>$B2 * IFERROR(VLOOKUP("buildings|SO2|Premature mortality", US_national_yearly!$D:$AM, 18, FALSE) / VLOOKUP("buildings|SO2|Premature mortality", US_national_yearly!$D:$AM, 10, FALSE), 1)</f>
        <v>9.8698916228650204E-3</v>
      </c>
      <c r="K2" s="7">
        <f>$B2 * IFERROR(VLOOKUP("buildings|SO2|Premature mortality", US_national_yearly!$D:$AM, 19, FALSE) / VLOOKUP("buildings|SO2|Premature mortality", US_national_yearly!$D:$AM, 10, FALSE), 1)</f>
        <v>1.001063919574802E-2</v>
      </c>
      <c r="L2" s="7">
        <f>$B2 * IFERROR(VLOOKUP("buildings|SO2|Premature mortality", US_national_yearly!$D:$AM, 20, FALSE) / VLOOKUP("buildings|SO2|Premature mortality", US_national_yearly!$D:$AM, 10, FALSE), 1)</f>
        <v>1.0151386768631017E-2</v>
      </c>
      <c r="M2" s="7">
        <f>$B2 * IFERROR(VLOOKUP("buildings|SO2|Premature mortality", US_national_yearly!$D:$AM, 21, FALSE) / VLOOKUP("buildings|SO2|Premature mortality", US_national_yearly!$D:$AM, 10, FALSE), 1)</f>
        <v>1.0292134341514015E-2</v>
      </c>
      <c r="N2" s="7">
        <f>$B2 * IFERROR(VLOOKUP("buildings|SO2|Premature mortality", US_national_yearly!$D:$AM, 22, FALSE) / VLOOKUP("buildings|SO2|Premature mortality", US_national_yearly!$D:$AM, 10, FALSE), 1)</f>
        <v>1.0402081401589932E-2</v>
      </c>
      <c r="O2" s="7">
        <f>$B2 * IFERROR(VLOOKUP("buildings|SO2|Premature mortality", US_national_yearly!$D:$AM, 23, FALSE) / VLOOKUP("buildings|SO2|Premature mortality", US_national_yearly!$D:$AM, 10, FALSE), 1)</f>
        <v>1.0512028461665842E-2</v>
      </c>
      <c r="P2" s="7">
        <f>$B2 * IFERROR(VLOOKUP("buildings|SO2|Premature mortality", US_national_yearly!$D:$AM, 24, FALSE) / VLOOKUP("buildings|SO2|Premature mortality", US_national_yearly!$D:$AM, 10, FALSE), 1)</f>
        <v>1.0621975521741756E-2</v>
      </c>
      <c r="Q2" s="7">
        <f>$B2 * IFERROR(VLOOKUP("buildings|SO2|Premature mortality", US_national_yearly!$D:$AM, 25, FALSE) / VLOOKUP("buildings|SO2|Premature mortality", US_national_yearly!$D:$AM, 10, FALSE), 1)</f>
        <v>1.0731922581817668E-2</v>
      </c>
      <c r="R2" s="7">
        <f>$B2 * IFERROR(VLOOKUP("buildings|SO2|Premature mortality", US_national_yearly!$D:$AM, 26, FALSE) / VLOOKUP("buildings|SO2|Premature mortality", US_national_yearly!$D:$AM, 10, FALSE), 1)</f>
        <v>1.0841869641893582E-2</v>
      </c>
      <c r="S2" s="7">
        <f>$B2 * IFERROR(VLOOKUP("buildings|SO2|Premature mortality", US_national_yearly!$D:$AM, 27, FALSE) / VLOOKUP("buildings|SO2|Premature mortality", US_national_yearly!$D:$AM, 10, FALSE), 1)</f>
        <v>1.0900714563463436E-2</v>
      </c>
      <c r="T2" s="7">
        <f>$B2 * IFERROR(VLOOKUP("buildings|SO2|Premature mortality", US_national_yearly!$D:$AM, 28, FALSE) / VLOOKUP("buildings|SO2|Premature mortality", US_national_yearly!$D:$AM, 10, FALSE), 1)</f>
        <v>1.0959559485033294E-2</v>
      </c>
      <c r="U2" s="7">
        <f>$B2 * IFERROR(VLOOKUP("buildings|SO2|Premature mortality", US_national_yearly!$D:$AM, 29, FALSE) / VLOOKUP("buildings|SO2|Premature mortality", US_national_yearly!$D:$AM, 10, FALSE), 1)</f>
        <v>1.1018404406603148E-2</v>
      </c>
      <c r="V2" s="7">
        <f>$B2 * IFERROR(VLOOKUP("buildings|SO2|Premature mortality", US_national_yearly!$D:$AM, 30, FALSE) / VLOOKUP("buildings|SO2|Premature mortality", US_national_yearly!$D:$AM, 10, FALSE), 1)</f>
        <v>1.1077249328173005E-2</v>
      </c>
      <c r="W2" s="7">
        <f>$B2 * IFERROR(VLOOKUP("buildings|SO2|Premature mortality", US_national_yearly!$D:$AM, 31, FALSE) / VLOOKUP("buildings|SO2|Premature mortality", US_national_yearly!$D:$AM, 10, FALSE), 1)</f>
        <v>1.1136094249742859E-2</v>
      </c>
      <c r="X2" s="7">
        <f>$B2 * IFERROR(VLOOKUP("buildings|SO2|Premature mortality", US_national_yearly!$D:$AM, 32, FALSE) / VLOOKUP("buildings|SO2|Premature mortality", US_national_yearly!$D:$AM, 10, FALSE), 1)</f>
        <v>1.1147984746234307E-2</v>
      </c>
      <c r="Y2" s="7">
        <f>$B2 * IFERROR(VLOOKUP("buildings|SO2|Premature mortality", US_national_yearly!$D:$AM, 33, FALSE) / VLOOKUP("buildings|SO2|Premature mortality", US_national_yearly!$D:$AM, 10, FALSE), 1)</f>
        <v>1.1159875242725754E-2</v>
      </c>
      <c r="Z2" s="7">
        <f>$B2 * IFERROR(VLOOKUP("buildings|SO2|Premature mortality", US_national_yearly!$D:$AM, 34, FALSE) / VLOOKUP("buildings|SO2|Premature mortality", US_national_yearly!$D:$AM, 10, FALSE), 1)</f>
        <v>1.11717657392172E-2</v>
      </c>
      <c r="AA2" s="7">
        <f>$B2 * IFERROR(VLOOKUP("buildings|SO2|Premature mortality", US_national_yearly!$D:$AM, 35, FALSE) / VLOOKUP("buildings|SO2|Premature mortality", US_national_yearly!$D:$AM, 10, FALSE), 1)</f>
        <v>1.1183656235708647E-2</v>
      </c>
      <c r="AB2" s="7">
        <f>$B2 * IFERROR(VLOOKUP("buildings|SO2|Premature mortality", US_national_yearly!$D:$AM, 36, FALSE) / VLOOKUP("buildings|SO2|Premature mortality", US_national_yearly!$D:$AM, 10, FALSE), 1)</f>
        <v>1.1195546732200095E-2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1.8165965372057131E-5</v>
      </c>
      <c r="C3" s="7">
        <f>$B3 * IFERROR(VLOOKUP("buildings|SO2|Infant mortality", US_national_yearly!$D:$AM, 11, FALSE) / VLOOKUP("buildings|SO2|Infant mortality", US_national_yearly!$D:$AM, 10, FALSE), 1)</f>
        <v>1.801025748560625E-5</v>
      </c>
      <c r="D3" s="7">
        <f>$B3 * IFERROR(VLOOKUP("buildings|SO2|Infant mortality", US_national_yearly!$D:$AM, 12, FALSE) / VLOOKUP("buildings|SO2|Infant mortality", US_national_yearly!$D:$AM, 10, FALSE), 1)</f>
        <v>1.7854549599155366E-5</v>
      </c>
      <c r="E3" s="7">
        <f>$B3 * IFERROR(VLOOKUP("buildings|SO2|Infant mortality", US_national_yearly!$D:$AM, 13, FALSE) / VLOOKUP("buildings|SO2|Infant mortality", US_national_yearly!$D:$AM, 10, FALSE), 1)</f>
        <v>1.7698841712704489E-5</v>
      </c>
      <c r="F3" s="7">
        <f>$B3 * IFERROR(VLOOKUP("buildings|SO2|Infant mortality", US_national_yearly!$D:$AM, 14, FALSE) / VLOOKUP("buildings|SO2|Infant mortality", US_national_yearly!$D:$AM, 10, FALSE), 1)</f>
        <v>1.7543133826253608E-5</v>
      </c>
      <c r="G3" s="7">
        <f>$B3 * IFERROR(VLOOKUP("buildings|SO2|Infant mortality", US_national_yearly!$D:$AM, 15, FALSE) / VLOOKUP("buildings|SO2|Infant mortality", US_national_yearly!$D:$AM, 10, FALSE), 1)</f>
        <v>1.168303212645392E-5</v>
      </c>
      <c r="H3" s="7">
        <f>$B3 * IFERROR(VLOOKUP("buildings|SO2|Infant mortality", US_national_yearly!$D:$AM, 16, FALSE) / VLOOKUP("buildings|SO2|Infant mortality", US_national_yearly!$D:$AM, 10, FALSE), 1)</f>
        <v>5.822930426654232E-6</v>
      </c>
      <c r="I3" s="7">
        <f>$B3 * IFERROR(VLOOKUP("buildings|SO2|Infant mortality", US_national_yearly!$D:$AM, 17, FALSE) / VLOOKUP("buildings|SO2|Infant mortality", US_national_yearly!$D:$AM, 10, FALSE), 1)</f>
        <v>5.7863967181314023E-6</v>
      </c>
      <c r="J3" s="7">
        <f>$B3 * IFERROR(VLOOKUP("buildings|SO2|Infant mortality", US_national_yearly!$D:$AM, 18, FALSE) / VLOOKUP("buildings|SO2|Infant mortality", US_national_yearly!$D:$AM, 10, FALSE), 1)</f>
        <v>5.7498630096085717E-6</v>
      </c>
      <c r="K3" s="7">
        <f>$B3 * IFERROR(VLOOKUP("buildings|SO2|Infant mortality", US_national_yearly!$D:$AM, 19, FALSE) / VLOOKUP("buildings|SO2|Infant mortality", US_national_yearly!$D:$AM, 10, FALSE), 1)</f>
        <v>5.7133293010857412E-6</v>
      </c>
      <c r="L3" s="7">
        <f>$B3 * IFERROR(VLOOKUP("buildings|SO2|Infant mortality", US_national_yearly!$D:$AM, 20, FALSE) / VLOOKUP("buildings|SO2|Infant mortality", US_national_yearly!$D:$AM, 10, FALSE), 1)</f>
        <v>5.6767955925629107E-6</v>
      </c>
      <c r="M3" s="7">
        <f>$B3 * IFERROR(VLOOKUP("buildings|SO2|Infant mortality", US_national_yearly!$D:$AM, 21, FALSE) / VLOOKUP("buildings|SO2|Infant mortality", US_national_yearly!$D:$AM, 10, FALSE), 1)</f>
        <v>5.6402618840400802E-6</v>
      </c>
      <c r="N3" s="7">
        <f>$B3 * IFERROR(VLOOKUP("buildings|SO2|Infant mortality", US_national_yearly!$D:$AM, 22, FALSE) / VLOOKUP("buildings|SO2|Infant mortality", US_national_yearly!$D:$AM, 10, FALSE), 1)</f>
        <v>5.6173591298460589E-6</v>
      </c>
      <c r="O3" s="7">
        <f>$B3 * IFERROR(VLOOKUP("buildings|SO2|Infant mortality", US_national_yearly!$D:$AM, 23, FALSE) / VLOOKUP("buildings|SO2|Infant mortality", US_national_yearly!$D:$AM, 10, FALSE), 1)</f>
        <v>5.5944563756520369E-6</v>
      </c>
      <c r="P3" s="7">
        <f>$B3 * IFERROR(VLOOKUP("buildings|SO2|Infant mortality", US_national_yearly!$D:$AM, 24, FALSE) / VLOOKUP("buildings|SO2|Infant mortality", US_national_yearly!$D:$AM, 10, FALSE), 1)</f>
        <v>5.5715536214580148E-6</v>
      </c>
      <c r="Q3" s="7">
        <f>$B3 * IFERROR(VLOOKUP("buildings|SO2|Infant mortality", US_national_yearly!$D:$AM, 25, FALSE) / VLOOKUP("buildings|SO2|Infant mortality", US_national_yearly!$D:$AM, 10, FALSE), 1)</f>
        <v>5.5486508672639936E-6</v>
      </c>
      <c r="R3" s="7">
        <f>$B3 * IFERROR(VLOOKUP("buildings|SO2|Infant mortality", US_national_yearly!$D:$AM, 26, FALSE) / VLOOKUP("buildings|SO2|Infant mortality", US_national_yearly!$D:$AM, 10, FALSE), 1)</f>
        <v>5.5257481130699715E-6</v>
      </c>
      <c r="S3" s="7">
        <f>$B3 * IFERROR(VLOOKUP("buildings|SO2|Infant mortality", US_national_yearly!$D:$AM, 27, FALSE) / VLOOKUP("buildings|SO2|Infant mortality", US_national_yearly!$D:$AM, 10, FALSE), 1)</f>
        <v>5.4969895146852953E-6</v>
      </c>
      <c r="T3" s="7">
        <f>$B3 * IFERROR(VLOOKUP("buildings|SO2|Infant mortality", US_national_yearly!$D:$AM, 28, FALSE) / VLOOKUP("buildings|SO2|Infant mortality", US_national_yearly!$D:$AM, 10, FALSE), 1)</f>
        <v>5.4682309163006183E-6</v>
      </c>
      <c r="U3" s="7">
        <f>$B3 * IFERROR(VLOOKUP("buildings|SO2|Infant mortality", US_national_yearly!$D:$AM, 29, FALSE) / VLOOKUP("buildings|SO2|Infant mortality", US_national_yearly!$D:$AM, 10, FALSE), 1)</f>
        <v>5.4394723179159412E-6</v>
      </c>
      <c r="V3" s="7">
        <f>$B3 * IFERROR(VLOOKUP("buildings|SO2|Infant mortality", US_national_yearly!$D:$AM, 30, FALSE) / VLOOKUP("buildings|SO2|Infant mortality", US_national_yearly!$D:$AM, 10, FALSE), 1)</f>
        <v>5.4107137195312642E-6</v>
      </c>
      <c r="W3" s="7">
        <f>$B3 * IFERROR(VLOOKUP("buildings|SO2|Infant mortality", US_national_yearly!$D:$AM, 31, FALSE) / VLOOKUP("buildings|SO2|Infant mortality", US_national_yearly!$D:$AM, 10, FALSE), 1)</f>
        <v>5.381955121146588E-6</v>
      </c>
      <c r="X3" s="7">
        <f>$B3 * IFERROR(VLOOKUP("buildings|SO2|Infant mortality", US_national_yearly!$D:$AM, 32, FALSE) / VLOOKUP("buildings|SO2|Infant mortality", US_national_yearly!$D:$AM, 10, FALSE), 1)</f>
        <v>5.3505461748652101E-6</v>
      </c>
      <c r="Y3" s="7">
        <f>$B3 * IFERROR(VLOOKUP("buildings|SO2|Infant mortality", US_national_yearly!$D:$AM, 33, FALSE) / VLOOKUP("buildings|SO2|Infant mortality", US_national_yearly!$D:$AM, 10, FALSE), 1)</f>
        <v>5.3191372285838331E-6</v>
      </c>
      <c r="Z3" s="7">
        <f>$B3 * IFERROR(VLOOKUP("buildings|SO2|Infant mortality", US_national_yearly!$D:$AM, 34, FALSE) / VLOOKUP("buildings|SO2|Infant mortality", US_national_yearly!$D:$AM, 10, FALSE), 1)</f>
        <v>5.2877282823024569E-6</v>
      </c>
      <c r="AA3" s="7">
        <f>$B3 * IFERROR(VLOOKUP("buildings|SO2|Infant mortality", US_national_yearly!$D:$AM, 35, FALSE) / VLOOKUP("buildings|SO2|Infant mortality", US_national_yearly!$D:$AM, 10, FALSE), 1)</f>
        <v>5.2563193360210791E-6</v>
      </c>
      <c r="AB3" s="7">
        <f>$B3 * IFERROR(VLOOKUP("buildings|SO2|Infant mortality", US_national_yearly!$D:$AM, 36, FALSE) / VLOOKUP("buildings|SO2|Infant mortality", US_national_yearly!$D:$AM, 10, FALSE), 1)</f>
        <v>5.2249103897397029E-6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1.9766678448902602E-2</v>
      </c>
      <c r="C6" s="7">
        <f>$B6 * IFERROR(VLOOKUP("buildings|SO2|Asthma symptoms cough", US_national_yearly!$D:$AM, 11, FALSE) / VLOOKUP("buildings|SO2|Asthma symptoms cough", US_national_yearly!$D:$AM, 10, FALSE), 1)</f>
        <v>1.9766678448902602E-2</v>
      </c>
      <c r="D6" s="7">
        <f>$B6 * IFERROR(VLOOKUP("buildings|SO2|Asthma symptoms cough", US_national_yearly!$D:$AM, 12, FALSE) / VLOOKUP("buildings|SO2|Asthma symptoms cough", US_national_yearly!$D:$AM, 10, FALSE), 1)</f>
        <v>1.9766678448902602E-2</v>
      </c>
      <c r="E6" s="7">
        <f>$B6 * IFERROR(VLOOKUP("buildings|SO2|Asthma symptoms cough", US_national_yearly!$D:$AM, 13, FALSE) / VLOOKUP("buildings|SO2|Asthma symptoms cough", US_national_yearly!$D:$AM, 10, FALSE), 1)</f>
        <v>1.9766678448902602E-2</v>
      </c>
      <c r="F6" s="7">
        <f>$B6 * IFERROR(VLOOKUP("buildings|SO2|Asthma symptoms cough", US_national_yearly!$D:$AM, 14, FALSE) / VLOOKUP("buildings|SO2|Asthma symptoms cough", US_national_yearly!$D:$AM, 10, FALSE), 1)</f>
        <v>1.9766678448902602E-2</v>
      </c>
      <c r="G6" s="7">
        <f>$B6 * IFERROR(VLOOKUP("buildings|SO2|Asthma symptoms cough", US_national_yearly!$D:$AM, 15, FALSE) / VLOOKUP("buildings|SO2|Asthma symptoms cough", US_national_yearly!$D:$AM, 10, FALSE), 1)</f>
        <v>1.9766678448902602E-2</v>
      </c>
      <c r="H6" s="7">
        <f>$B6 * IFERROR(VLOOKUP("buildings|SO2|Asthma symptoms cough", US_national_yearly!$D:$AM, 16, FALSE) / VLOOKUP("buildings|SO2|Asthma symptoms cough", US_national_yearly!$D:$AM, 10, FALSE), 1)</f>
        <v>1.9766678448902602E-2</v>
      </c>
      <c r="I6" s="7">
        <f>$B6 * IFERROR(VLOOKUP("buildings|SO2|Asthma symptoms cough", US_national_yearly!$D:$AM, 17, FALSE) / VLOOKUP("buildings|SO2|Asthma symptoms cough", US_national_yearly!$D:$AM, 10, FALSE), 1)</f>
        <v>1.9766678448902602E-2</v>
      </c>
      <c r="J6" s="7">
        <f>$B6 * IFERROR(VLOOKUP("buildings|SO2|Asthma symptoms cough", US_national_yearly!$D:$AM, 18, FALSE) / VLOOKUP("buildings|SO2|Asthma symptoms cough", US_national_yearly!$D:$AM, 10, FALSE), 1)</f>
        <v>1.9766678448902602E-2</v>
      </c>
      <c r="K6" s="7">
        <f>$B6 * IFERROR(VLOOKUP("buildings|SO2|Asthma symptoms cough", US_national_yearly!$D:$AM, 19, FALSE) / VLOOKUP("buildings|SO2|Asthma symptoms cough", US_national_yearly!$D:$AM, 10, FALSE), 1)</f>
        <v>1.9766678448902602E-2</v>
      </c>
      <c r="L6" s="7">
        <f>$B6 * IFERROR(VLOOKUP("buildings|SO2|Asthma symptoms cough", US_national_yearly!$D:$AM, 20, FALSE) / VLOOKUP("buildings|SO2|Asthma symptoms cough", US_national_yearly!$D:$AM, 10, FALSE), 1)</f>
        <v>1.9766678448902602E-2</v>
      </c>
      <c r="M6" s="7">
        <f>$B6 * IFERROR(VLOOKUP("buildings|SO2|Asthma symptoms cough", US_national_yearly!$D:$AM, 21, FALSE) / VLOOKUP("buildings|SO2|Asthma symptoms cough", US_national_yearly!$D:$AM, 10, FALSE), 1)</f>
        <v>1.9766678448902602E-2</v>
      </c>
      <c r="N6" s="7">
        <f>$B6 * IFERROR(VLOOKUP("buildings|SO2|Asthma symptoms cough", US_national_yearly!$D:$AM, 22, FALSE) / VLOOKUP("buildings|SO2|Asthma symptoms cough", US_national_yearly!$D:$AM, 10, FALSE), 1)</f>
        <v>1.9766678448902602E-2</v>
      </c>
      <c r="O6" s="7">
        <f>$B6 * IFERROR(VLOOKUP("buildings|SO2|Asthma symptoms cough", US_national_yearly!$D:$AM, 23, FALSE) / VLOOKUP("buildings|SO2|Asthma symptoms cough", US_national_yearly!$D:$AM, 10, FALSE), 1)</f>
        <v>1.9766678448902602E-2</v>
      </c>
      <c r="P6" s="7">
        <f>$B6 * IFERROR(VLOOKUP("buildings|SO2|Asthma symptoms cough", US_national_yearly!$D:$AM, 24, FALSE) / VLOOKUP("buildings|SO2|Asthma symptoms cough", US_national_yearly!$D:$AM, 10, FALSE), 1)</f>
        <v>1.9766678448902602E-2</v>
      </c>
      <c r="Q6" s="7">
        <f>$B6 * IFERROR(VLOOKUP("buildings|SO2|Asthma symptoms cough", US_national_yearly!$D:$AM, 25, FALSE) / VLOOKUP("buildings|SO2|Asthma symptoms cough", US_national_yearly!$D:$AM, 10, FALSE), 1)</f>
        <v>1.9766678448902602E-2</v>
      </c>
      <c r="R6" s="7">
        <f>$B6 * IFERROR(VLOOKUP("buildings|SO2|Asthma symptoms cough", US_national_yearly!$D:$AM, 26, FALSE) / VLOOKUP("buildings|SO2|Asthma symptoms cough", US_national_yearly!$D:$AM, 10, FALSE), 1)</f>
        <v>1.9766678448902602E-2</v>
      </c>
      <c r="S6" s="7">
        <f>$B6 * IFERROR(VLOOKUP("buildings|SO2|Asthma symptoms cough", US_national_yearly!$D:$AM, 27, FALSE) / VLOOKUP("buildings|SO2|Asthma symptoms cough", US_national_yearly!$D:$AM, 10, FALSE), 1)</f>
        <v>1.9766678448902602E-2</v>
      </c>
      <c r="T6" s="7">
        <f>$B6 * IFERROR(VLOOKUP("buildings|SO2|Asthma symptoms cough", US_national_yearly!$D:$AM, 28, FALSE) / VLOOKUP("buildings|SO2|Asthma symptoms cough", US_national_yearly!$D:$AM, 10, FALSE), 1)</f>
        <v>1.9766678448902602E-2</v>
      </c>
      <c r="U6" s="7">
        <f>$B6 * IFERROR(VLOOKUP("buildings|SO2|Asthma symptoms cough", US_national_yearly!$D:$AM, 29, FALSE) / VLOOKUP("buildings|SO2|Asthma symptoms cough", US_national_yearly!$D:$AM, 10, FALSE), 1)</f>
        <v>1.9766678448902602E-2</v>
      </c>
      <c r="V6" s="7">
        <f>$B6 * IFERROR(VLOOKUP("buildings|SO2|Asthma symptoms cough", US_national_yearly!$D:$AM, 30, FALSE) / VLOOKUP("buildings|SO2|Asthma symptoms cough", US_national_yearly!$D:$AM, 10, FALSE), 1)</f>
        <v>1.9766678448902602E-2</v>
      </c>
      <c r="W6" s="7">
        <f>$B6 * IFERROR(VLOOKUP("buildings|SO2|Asthma symptoms cough", US_national_yearly!$D:$AM, 31, FALSE) / VLOOKUP("buildings|SO2|Asthma symptoms cough", US_national_yearly!$D:$AM, 10, FALSE), 1)</f>
        <v>1.9766678448902602E-2</v>
      </c>
      <c r="X6" s="7">
        <f>$B6 * IFERROR(VLOOKUP("buildings|SO2|Asthma symptoms cough", US_national_yearly!$D:$AM, 32, FALSE) / VLOOKUP("buildings|SO2|Asthma symptoms cough", US_national_yearly!$D:$AM, 10, FALSE), 1)</f>
        <v>1.9766678448902602E-2</v>
      </c>
      <c r="Y6" s="7">
        <f>$B6 * IFERROR(VLOOKUP("buildings|SO2|Asthma symptoms cough", US_national_yearly!$D:$AM, 33, FALSE) / VLOOKUP("buildings|SO2|Asthma symptoms cough", US_national_yearly!$D:$AM, 10, FALSE), 1)</f>
        <v>1.9766678448902602E-2</v>
      </c>
      <c r="Z6" s="7">
        <f>$B6 * IFERROR(VLOOKUP("buildings|SO2|Asthma symptoms cough", US_national_yearly!$D:$AM, 34, FALSE) / VLOOKUP("buildings|SO2|Asthma symptoms cough", US_national_yearly!$D:$AM, 10, FALSE), 1)</f>
        <v>1.9766678448902602E-2</v>
      </c>
      <c r="AA6" s="7">
        <f>$B6 * IFERROR(VLOOKUP("buildings|SO2|Asthma symptoms cough", US_national_yearly!$D:$AM, 35, FALSE) / VLOOKUP("buildings|SO2|Asthma symptoms cough", US_national_yearly!$D:$AM, 10, FALSE), 1)</f>
        <v>1.9766678448902602E-2</v>
      </c>
      <c r="AB6" s="7">
        <f>$B6 * IFERROR(VLOOKUP("buildings|SO2|Asthma symptoms cough", US_national_yearly!$D:$AM, 36, FALSE) / VLOOKUP("buildings|SO2|Asthma symptoms cough", US_national_yearly!$D:$AM, 10, FALSE), 1)</f>
        <v>1.9766678448902602E-2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2.6618731221511066E-2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2.6618731221511066E-2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2.6618731221511066E-2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2.6618731221511066E-2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2.6618731221511066E-2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2.6618731221511066E-2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2.6618731221511066E-2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2.6618731221511066E-2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2.6618731221511066E-2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2.6618731221511066E-2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2.6618731221511066E-2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2.6618731221511066E-2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2.6618731221511066E-2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2.6618731221511066E-2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2.6618731221511066E-2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2.6618731221511066E-2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2.6618731221511066E-2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2.6618731221511066E-2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2.6618731221511066E-2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2.6618731221511066E-2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2.6618731221511066E-2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2.6618731221511066E-2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2.6618731221511066E-2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2.6618731221511066E-2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2.6618731221511066E-2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2.6618731221511066E-2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2.6618731221511066E-2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4.066880134558451E-2</v>
      </c>
      <c r="C8" s="7">
        <f>$B8 * IFERROR(VLOOKUP("buildings|SO2|Asthma symptoms wheeze", US_national_yearly!$D:$AM, 11, FALSE) / VLOOKUP("buildings|SO2|Asthma symptoms wheeze", US_national_yearly!$D:$AM, 10, FALSE), 1)</f>
        <v>4.066880134558451E-2</v>
      </c>
      <c r="D8" s="7">
        <f>$B8 * IFERROR(VLOOKUP("buildings|SO2|Asthma symptoms wheeze", US_national_yearly!$D:$AM, 12, FALSE) / VLOOKUP("buildings|SO2|Asthma symptoms wheeze", US_national_yearly!$D:$AM, 10, FALSE), 1)</f>
        <v>4.066880134558451E-2</v>
      </c>
      <c r="E8" s="7">
        <f>$B8 * IFERROR(VLOOKUP("buildings|SO2|Asthma symptoms wheeze", US_national_yearly!$D:$AM, 13, FALSE) / VLOOKUP("buildings|SO2|Asthma symptoms wheeze", US_national_yearly!$D:$AM, 10, FALSE), 1)</f>
        <v>4.066880134558451E-2</v>
      </c>
      <c r="F8" s="7">
        <f>$B8 * IFERROR(VLOOKUP("buildings|SO2|Asthma symptoms wheeze", US_national_yearly!$D:$AM, 14, FALSE) / VLOOKUP("buildings|SO2|Asthma symptoms wheeze", US_national_yearly!$D:$AM, 10, FALSE), 1)</f>
        <v>4.066880134558451E-2</v>
      </c>
      <c r="G8" s="7">
        <f>$B8 * IFERROR(VLOOKUP("buildings|SO2|Asthma symptoms wheeze", US_national_yearly!$D:$AM, 15, FALSE) / VLOOKUP("buildings|SO2|Asthma symptoms wheeze", US_national_yearly!$D:$AM, 10, FALSE), 1)</f>
        <v>4.066880134558451E-2</v>
      </c>
      <c r="H8" s="7">
        <f>$B8 * IFERROR(VLOOKUP("buildings|SO2|Asthma symptoms wheeze", US_national_yearly!$D:$AM, 16, FALSE) / VLOOKUP("buildings|SO2|Asthma symptoms wheeze", US_national_yearly!$D:$AM, 10, FALSE), 1)</f>
        <v>4.066880134558451E-2</v>
      </c>
      <c r="I8" s="7">
        <f>$B8 * IFERROR(VLOOKUP("buildings|SO2|Asthma symptoms wheeze", US_national_yearly!$D:$AM, 17, FALSE) / VLOOKUP("buildings|SO2|Asthma symptoms wheeze", US_national_yearly!$D:$AM, 10, FALSE), 1)</f>
        <v>4.066880134558451E-2</v>
      </c>
      <c r="J8" s="7">
        <f>$B8 * IFERROR(VLOOKUP("buildings|SO2|Asthma symptoms wheeze", US_national_yearly!$D:$AM, 18, FALSE) / VLOOKUP("buildings|SO2|Asthma symptoms wheeze", US_national_yearly!$D:$AM, 10, FALSE), 1)</f>
        <v>4.066880134558451E-2</v>
      </c>
      <c r="K8" s="7">
        <f>$B8 * IFERROR(VLOOKUP("buildings|SO2|Asthma symptoms wheeze", US_national_yearly!$D:$AM, 19, FALSE) / VLOOKUP("buildings|SO2|Asthma symptoms wheeze", US_national_yearly!$D:$AM, 10, FALSE), 1)</f>
        <v>4.066880134558451E-2</v>
      </c>
      <c r="L8" s="7">
        <f>$B8 * IFERROR(VLOOKUP("buildings|SO2|Asthma symptoms wheeze", US_national_yearly!$D:$AM, 20, FALSE) / VLOOKUP("buildings|SO2|Asthma symptoms wheeze", US_national_yearly!$D:$AM, 10, FALSE), 1)</f>
        <v>4.066880134558451E-2</v>
      </c>
      <c r="M8" s="7">
        <f>$B8 * IFERROR(VLOOKUP("buildings|SO2|Asthma symptoms wheeze", US_national_yearly!$D:$AM, 21, FALSE) / VLOOKUP("buildings|SO2|Asthma symptoms wheeze", US_national_yearly!$D:$AM, 10, FALSE), 1)</f>
        <v>4.066880134558451E-2</v>
      </c>
      <c r="N8" s="7">
        <f>$B8 * IFERROR(VLOOKUP("buildings|SO2|Asthma symptoms wheeze", US_national_yearly!$D:$AM, 22, FALSE) / VLOOKUP("buildings|SO2|Asthma symptoms wheeze", US_national_yearly!$D:$AM, 10, FALSE), 1)</f>
        <v>4.066880134558451E-2</v>
      </c>
      <c r="O8" s="7">
        <f>$B8 * IFERROR(VLOOKUP("buildings|SO2|Asthma symptoms wheeze", US_national_yearly!$D:$AM, 23, FALSE) / VLOOKUP("buildings|SO2|Asthma symptoms wheeze", US_national_yearly!$D:$AM, 10, FALSE), 1)</f>
        <v>4.066880134558451E-2</v>
      </c>
      <c r="P8" s="7">
        <f>$B8 * IFERROR(VLOOKUP("buildings|SO2|Asthma symptoms wheeze", US_national_yearly!$D:$AM, 24, FALSE) / VLOOKUP("buildings|SO2|Asthma symptoms wheeze", US_national_yearly!$D:$AM, 10, FALSE), 1)</f>
        <v>4.066880134558451E-2</v>
      </c>
      <c r="Q8" s="7">
        <f>$B8 * IFERROR(VLOOKUP("buildings|SO2|Asthma symptoms wheeze", US_national_yearly!$D:$AM, 25, FALSE) / VLOOKUP("buildings|SO2|Asthma symptoms wheeze", US_national_yearly!$D:$AM, 10, FALSE), 1)</f>
        <v>4.066880134558451E-2</v>
      </c>
      <c r="R8" s="7">
        <f>$B8 * IFERROR(VLOOKUP("buildings|SO2|Asthma symptoms wheeze", US_national_yearly!$D:$AM, 26, FALSE) / VLOOKUP("buildings|SO2|Asthma symptoms wheeze", US_national_yearly!$D:$AM, 10, FALSE), 1)</f>
        <v>4.066880134558451E-2</v>
      </c>
      <c r="S8" s="7">
        <f>$B8 * IFERROR(VLOOKUP("buildings|SO2|Asthma symptoms wheeze", US_national_yearly!$D:$AM, 27, FALSE) / VLOOKUP("buildings|SO2|Asthma symptoms wheeze", US_national_yearly!$D:$AM, 10, FALSE), 1)</f>
        <v>4.066880134558451E-2</v>
      </c>
      <c r="T8" s="7">
        <f>$B8 * IFERROR(VLOOKUP("buildings|SO2|Asthma symptoms wheeze", US_national_yearly!$D:$AM, 28, FALSE) / VLOOKUP("buildings|SO2|Asthma symptoms wheeze", US_national_yearly!$D:$AM, 10, FALSE), 1)</f>
        <v>4.066880134558451E-2</v>
      </c>
      <c r="U8" s="7">
        <f>$B8 * IFERROR(VLOOKUP("buildings|SO2|Asthma symptoms wheeze", US_national_yearly!$D:$AM, 29, FALSE) / VLOOKUP("buildings|SO2|Asthma symptoms wheeze", US_national_yearly!$D:$AM, 10, FALSE), 1)</f>
        <v>4.066880134558451E-2</v>
      </c>
      <c r="V8" s="7">
        <f>$B8 * IFERROR(VLOOKUP("buildings|SO2|Asthma symptoms wheeze", US_national_yearly!$D:$AM, 30, FALSE) / VLOOKUP("buildings|SO2|Asthma symptoms wheeze", US_national_yearly!$D:$AM, 10, FALSE), 1)</f>
        <v>4.066880134558451E-2</v>
      </c>
      <c r="W8" s="7">
        <f>$B8 * IFERROR(VLOOKUP("buildings|SO2|Asthma symptoms wheeze", US_national_yearly!$D:$AM, 31, FALSE) / VLOOKUP("buildings|SO2|Asthma symptoms wheeze", US_national_yearly!$D:$AM, 10, FALSE), 1)</f>
        <v>4.066880134558451E-2</v>
      </c>
      <c r="X8" s="7">
        <f>$B8 * IFERROR(VLOOKUP("buildings|SO2|Asthma symptoms wheeze", US_national_yearly!$D:$AM, 32, FALSE) / VLOOKUP("buildings|SO2|Asthma symptoms wheeze", US_national_yearly!$D:$AM, 10, FALSE), 1)</f>
        <v>4.066880134558451E-2</v>
      </c>
      <c r="Y8" s="7">
        <f>$B8 * IFERROR(VLOOKUP("buildings|SO2|Asthma symptoms wheeze", US_national_yearly!$D:$AM, 33, FALSE) / VLOOKUP("buildings|SO2|Asthma symptoms wheeze", US_national_yearly!$D:$AM, 10, FALSE), 1)</f>
        <v>4.066880134558451E-2</v>
      </c>
      <c r="Z8" s="7">
        <f>$B8 * IFERROR(VLOOKUP("buildings|SO2|Asthma symptoms wheeze", US_national_yearly!$D:$AM, 34, FALSE) / VLOOKUP("buildings|SO2|Asthma symptoms wheeze", US_national_yearly!$D:$AM, 10, FALSE), 1)</f>
        <v>4.066880134558451E-2</v>
      </c>
      <c r="AA8" s="7">
        <f>$B8 * IFERROR(VLOOKUP("buildings|SO2|Asthma symptoms wheeze", US_national_yearly!$D:$AM, 35, FALSE) / VLOOKUP("buildings|SO2|Asthma symptoms wheeze", US_national_yearly!$D:$AM, 10, FALSE), 1)</f>
        <v>4.066880134558451E-2</v>
      </c>
      <c r="AB8" s="7">
        <f>$B8 * IFERROR(VLOOKUP("buildings|SO2|Asthma symptoms wheeze", US_national_yearly!$D:$AM, 36, FALSE) / VLOOKUP("buildings|SO2|Asthma symptoms wheeze", US_national_yearly!$D:$AM, 10, FALSE), 1)</f>
        <v>4.066880134558451E-2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7.4333486046547362E-4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7.4772528086373101E-4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7.5211570126198829E-4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7.5650612166024568E-4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7.6089654205850285E-4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7.6568154716110011E-4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7.7046655226369737E-4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7.7517552516740752E-4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7.7988449807111788E-4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7.8459347097482814E-4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7.8930244387853828E-4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7.9401141678224864E-4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7.9744974652886519E-4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8.0088807627548162E-4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8.0432640602209817E-4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8.077647357687146E-4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8.1120306551533115E-4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8.1448155328883124E-4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8.1776004106233154E-4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8.2103852883583174E-4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8.2431701660933183E-4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8.2759550438283214E-4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8.3071092317016913E-4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8.3382634195750622E-4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8.3694176074484321E-4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8.400571795321802E-4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8.431725983195173E-4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3.9943618790892572E-3</v>
      </c>
      <c r="C13" s="7">
        <f>$B13 * IFERROR(VLOOKUP("buildings|SO2|Non-fatal heart attacks", US_national_yearly!$D:$AM, 11, FALSE) / VLOOKUP("buildings|SO2|Non-fatal heart attacks", US_national_yearly!$D:$AM, 10, FALSE), 1)</f>
        <v>4.1116597465438703E-3</v>
      </c>
      <c r="D13" s="7">
        <f>$B13 * IFERROR(VLOOKUP("buildings|SO2|Non-fatal heart attacks", US_national_yearly!$D:$AM, 12, FALSE) / VLOOKUP("buildings|SO2|Non-fatal heart attacks", US_national_yearly!$D:$AM, 10, FALSE), 1)</f>
        <v>4.2289576139984825E-3</v>
      </c>
      <c r="E13" s="7">
        <f>$B13 * IFERROR(VLOOKUP("buildings|SO2|Non-fatal heart attacks", US_national_yearly!$D:$AM, 13, FALSE) / VLOOKUP("buildings|SO2|Non-fatal heart attacks", US_national_yearly!$D:$AM, 10, FALSE), 1)</f>
        <v>4.3462554814530947E-3</v>
      </c>
      <c r="F13" s="7">
        <f>$B13 * IFERROR(VLOOKUP("buildings|SO2|Non-fatal heart attacks", US_national_yearly!$D:$AM, 14, FALSE) / VLOOKUP("buildings|SO2|Non-fatal heart attacks", US_national_yearly!$D:$AM, 10, FALSE), 1)</f>
        <v>4.4635533489077077E-3</v>
      </c>
      <c r="G13" s="7">
        <f>$B13 * IFERROR(VLOOKUP("buildings|SO2|Non-fatal heart attacks", US_national_yearly!$D:$AM, 15, FALSE) / VLOOKUP("buildings|SO2|Non-fatal heart attacks", US_national_yearly!$D:$AM, 10, FALSE), 1)</f>
        <v>4.5741841557517355E-3</v>
      </c>
      <c r="H13" s="7">
        <f>$B13 * IFERROR(VLOOKUP("buildings|SO2|Non-fatal heart attacks", US_national_yearly!$D:$AM, 16, FALSE) / VLOOKUP("buildings|SO2|Non-fatal heart attacks", US_national_yearly!$D:$AM, 10, FALSE), 1)</f>
        <v>4.6848149625957642E-3</v>
      </c>
      <c r="I13" s="7">
        <f>$B13 * IFERROR(VLOOKUP("buildings|SO2|Non-fatal heart attacks", US_national_yearly!$D:$AM, 17, FALSE) / VLOOKUP("buildings|SO2|Non-fatal heart attacks", US_national_yearly!$D:$AM, 10, FALSE), 1)</f>
        <v>4.7738654290782898E-3</v>
      </c>
      <c r="J13" s="7">
        <f>$B13 * IFERROR(VLOOKUP("buildings|SO2|Non-fatal heart attacks", US_national_yearly!$D:$AM, 18, FALSE) / VLOOKUP("buildings|SO2|Non-fatal heart attacks", US_national_yearly!$D:$AM, 10, FALSE), 1)</f>
        <v>4.8629158955608171E-3</v>
      </c>
      <c r="K13" s="7">
        <f>$B13 * IFERROR(VLOOKUP("buildings|SO2|Non-fatal heart attacks", US_national_yearly!$D:$AM, 19, FALSE) / VLOOKUP("buildings|SO2|Non-fatal heart attacks", US_national_yearly!$D:$AM, 10, FALSE), 1)</f>
        <v>4.9519663620433436E-3</v>
      </c>
      <c r="L13" s="7">
        <f>$B13 * IFERROR(VLOOKUP("buildings|SO2|Non-fatal heart attacks", US_national_yearly!$D:$AM, 20, FALSE) / VLOOKUP("buildings|SO2|Non-fatal heart attacks", US_national_yearly!$D:$AM, 10, FALSE), 1)</f>
        <v>5.0410168285258718E-3</v>
      </c>
      <c r="M13" s="7">
        <f>$B13 * IFERROR(VLOOKUP("buildings|SO2|Non-fatal heart attacks", US_national_yearly!$D:$AM, 21, FALSE) / VLOOKUP("buildings|SO2|Non-fatal heart attacks", US_national_yearly!$D:$AM, 10, FALSE), 1)</f>
        <v>5.1300672950083982E-3</v>
      </c>
      <c r="N13" s="7">
        <f>$B13 * IFERROR(VLOOKUP("buildings|SO2|Non-fatal heart attacks", US_national_yearly!$D:$AM, 22, FALSE) / VLOOKUP("buildings|SO2|Non-fatal heart attacks", US_national_yearly!$D:$AM, 10, FALSE), 1)</f>
        <v>5.1878651873409161E-3</v>
      </c>
      <c r="O13" s="7">
        <f>$B13 * IFERROR(VLOOKUP("buildings|SO2|Non-fatal heart attacks", US_national_yearly!$D:$AM, 23, FALSE) / VLOOKUP("buildings|SO2|Non-fatal heart attacks", US_national_yearly!$D:$AM, 10, FALSE), 1)</f>
        <v>5.2456630796734339E-3</v>
      </c>
      <c r="P13" s="7">
        <f>$B13 * IFERROR(VLOOKUP("buildings|SO2|Non-fatal heart attacks", US_national_yearly!$D:$AM, 24, FALSE) / VLOOKUP("buildings|SO2|Non-fatal heart attacks", US_national_yearly!$D:$AM, 10, FALSE), 1)</f>
        <v>5.3034609720059517E-3</v>
      </c>
      <c r="Q13" s="7">
        <f>$B13 * IFERROR(VLOOKUP("buildings|SO2|Non-fatal heart attacks", US_national_yearly!$D:$AM, 25, FALSE) / VLOOKUP("buildings|SO2|Non-fatal heart attacks", US_national_yearly!$D:$AM, 10, FALSE), 1)</f>
        <v>5.3612588643384687E-3</v>
      </c>
      <c r="R13" s="7">
        <f>$B13 * IFERROR(VLOOKUP("buildings|SO2|Non-fatal heart attacks", US_national_yearly!$D:$AM, 26, FALSE) / VLOOKUP("buildings|SO2|Non-fatal heart attacks", US_national_yearly!$D:$AM, 10, FALSE), 1)</f>
        <v>5.4190567566709874E-3</v>
      </c>
      <c r="S13" s="7">
        <f>$B13 * IFERROR(VLOOKUP("buildings|SO2|Non-fatal heart attacks", US_national_yearly!$D:$AM, 27, FALSE) / VLOOKUP("buildings|SO2|Non-fatal heart attacks", US_national_yearly!$D:$AM, 10, FALSE), 1)</f>
        <v>5.4492387214100995E-3</v>
      </c>
      <c r="T13" s="7">
        <f>$B13 * IFERROR(VLOOKUP("buildings|SO2|Non-fatal heart attacks", US_national_yearly!$D:$AM, 28, FALSE) / VLOOKUP("buildings|SO2|Non-fatal heart attacks", US_national_yearly!$D:$AM, 10, FALSE), 1)</f>
        <v>5.4794206861492126E-3</v>
      </c>
      <c r="U13" s="7">
        <f>$B13 * IFERROR(VLOOKUP("buildings|SO2|Non-fatal heart attacks", US_national_yearly!$D:$AM, 29, FALSE) / VLOOKUP("buildings|SO2|Non-fatal heart attacks", US_national_yearly!$D:$AM, 10, FALSE), 1)</f>
        <v>5.509602650888323E-3</v>
      </c>
      <c r="V13" s="7">
        <f>$B13 * IFERROR(VLOOKUP("buildings|SO2|Non-fatal heart attacks", US_national_yearly!$D:$AM, 30, FALSE) / VLOOKUP("buildings|SO2|Non-fatal heart attacks", US_national_yearly!$D:$AM, 10, FALSE), 1)</f>
        <v>5.5397846156274352E-3</v>
      </c>
      <c r="W13" s="7">
        <f>$B13 * IFERROR(VLOOKUP("buildings|SO2|Non-fatal heart attacks", US_national_yearly!$D:$AM, 31, FALSE) / VLOOKUP("buildings|SO2|Non-fatal heart attacks", US_national_yearly!$D:$AM, 10, FALSE), 1)</f>
        <v>5.5699665803665473E-3</v>
      </c>
      <c r="X13" s="7">
        <f>$B13 * IFERROR(VLOOKUP("buildings|SO2|Non-fatal heart attacks", US_national_yearly!$D:$AM, 32, FALSE) / VLOOKUP("buildings|SO2|Non-fatal heart attacks", US_national_yearly!$D:$AM, 10, FALSE), 1)</f>
        <v>5.5927622165353377E-3</v>
      </c>
      <c r="Y13" s="7">
        <f>$B13 * IFERROR(VLOOKUP("buildings|SO2|Non-fatal heart attacks", US_national_yearly!$D:$AM, 33, FALSE) / VLOOKUP("buildings|SO2|Non-fatal heart attacks", US_national_yearly!$D:$AM, 10, FALSE), 1)</f>
        <v>5.615557852704128E-3</v>
      </c>
      <c r="Z13" s="7">
        <f>$B13 * IFERROR(VLOOKUP("buildings|SO2|Non-fatal heart attacks", US_national_yearly!$D:$AM, 34, FALSE) / VLOOKUP("buildings|SO2|Non-fatal heart attacks", US_national_yearly!$D:$AM, 10, FALSE), 1)</f>
        <v>5.6383534888729157E-3</v>
      </c>
      <c r="AA13" s="7">
        <f>$B13 * IFERROR(VLOOKUP("buildings|SO2|Non-fatal heart attacks", US_national_yearly!$D:$AM, 35, FALSE) / VLOOKUP("buildings|SO2|Non-fatal heart attacks", US_national_yearly!$D:$AM, 10, FALSE), 1)</f>
        <v>5.661149125041706E-3</v>
      </c>
      <c r="AB13" s="7">
        <f>$B13 * IFERROR(VLOOKUP("buildings|SO2|Non-fatal heart attacks", US_national_yearly!$D:$AM, 36, FALSE) / VLOOKUP("buildings|SO2|Non-fatal heart attacks", US_national_yearly!$D:$AM, 10, FALSE), 1)</f>
        <v>5.6839447612104955E-3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2.7908697823088979</v>
      </c>
      <c r="C14" s="7">
        <f>$B14 * IFERROR(VLOOKUP("buildings|SO2|Minor restricted activity days", US_national_yearly!$D:$AM, 11, FALSE) / VLOOKUP("buildings|SO2|Minor restricted activity days", US_national_yearly!$D:$AM, 10, FALSE), 1)</f>
        <v>2.7979347221445847</v>
      </c>
      <c r="D14" s="7">
        <f>$B14 * IFERROR(VLOOKUP("buildings|SO2|Minor restricted activity days", US_national_yearly!$D:$AM, 12, FALSE) / VLOOKUP("buildings|SO2|Minor restricted activity days", US_national_yearly!$D:$AM, 10, FALSE), 1)</f>
        <v>2.8049996619802724</v>
      </c>
      <c r="E14" s="7">
        <f>$B14 * IFERROR(VLOOKUP("buildings|SO2|Minor restricted activity days", US_national_yearly!$D:$AM, 13, FALSE) / VLOOKUP("buildings|SO2|Minor restricted activity days", US_national_yearly!$D:$AM, 10, FALSE), 1)</f>
        <v>2.8120646018159601</v>
      </c>
      <c r="F14" s="7">
        <f>$B14 * IFERROR(VLOOKUP("buildings|SO2|Minor restricted activity days", US_national_yearly!$D:$AM, 14, FALSE) / VLOOKUP("buildings|SO2|Minor restricted activity days", US_national_yearly!$D:$AM, 10, FALSE), 1)</f>
        <v>2.8191295416516469</v>
      </c>
      <c r="G14" s="7">
        <f>$B14 * IFERROR(VLOOKUP("buildings|SO2|Minor restricted activity days", US_national_yearly!$D:$AM, 15, FALSE) / VLOOKUP("buildings|SO2|Minor restricted activity days", US_national_yearly!$D:$AM, 10, FALSE), 1)</f>
        <v>2.8295178025078394</v>
      </c>
      <c r="H14" s="7">
        <f>$B14 * IFERROR(VLOOKUP("buildings|SO2|Minor restricted activity days", US_national_yearly!$D:$AM, 16, FALSE) / VLOOKUP("buildings|SO2|Minor restricted activity days", US_national_yearly!$D:$AM, 10, FALSE), 1)</f>
        <v>2.8399060633640314</v>
      </c>
      <c r="I14" s="7">
        <f>$B14 * IFERROR(VLOOKUP("buildings|SO2|Minor restricted activity days", US_national_yearly!$D:$AM, 17, FALSE) / VLOOKUP("buildings|SO2|Minor restricted activity days", US_national_yearly!$D:$AM, 10, FALSE), 1)</f>
        <v>2.8575983170307033</v>
      </c>
      <c r="J14" s="7">
        <f>$B14 * IFERROR(VLOOKUP("buildings|SO2|Minor restricted activity days", US_national_yearly!$D:$AM, 18, FALSE) / VLOOKUP("buildings|SO2|Minor restricted activity days", US_national_yearly!$D:$AM, 10, FALSE), 1)</f>
        <v>2.8752905706973761</v>
      </c>
      <c r="K14" s="7">
        <f>$B14 * IFERROR(VLOOKUP("buildings|SO2|Minor restricted activity days", US_national_yearly!$D:$AM, 19, FALSE) / VLOOKUP("buildings|SO2|Minor restricted activity days", US_national_yearly!$D:$AM, 10, FALSE), 1)</f>
        <v>2.8929828243640476</v>
      </c>
      <c r="L14" s="7">
        <f>$B14 * IFERROR(VLOOKUP("buildings|SO2|Minor restricted activity days", US_national_yearly!$D:$AM, 20, FALSE) / VLOOKUP("buildings|SO2|Minor restricted activity days", US_national_yearly!$D:$AM, 10, FALSE), 1)</f>
        <v>2.9106750780307196</v>
      </c>
      <c r="M14" s="7">
        <f>$B14 * IFERROR(VLOOKUP("buildings|SO2|Minor restricted activity days", US_national_yearly!$D:$AM, 21, FALSE) / VLOOKUP("buildings|SO2|Minor restricted activity days", US_national_yearly!$D:$AM, 10, FALSE), 1)</f>
        <v>2.9283673316973915</v>
      </c>
      <c r="N14" s="7">
        <f>$B14 * IFERROR(VLOOKUP("buildings|SO2|Minor restricted activity days", US_national_yearly!$D:$AM, 22, FALSE) / VLOOKUP("buildings|SO2|Minor restricted activity days", US_national_yearly!$D:$AM, 10, FALSE), 1)</f>
        <v>2.9525605588730026</v>
      </c>
      <c r="O14" s="7">
        <f>$B14 * IFERROR(VLOOKUP("buildings|SO2|Minor restricted activity days", US_national_yearly!$D:$AM, 23, FALSE) / VLOOKUP("buildings|SO2|Minor restricted activity days", US_national_yearly!$D:$AM, 10, FALSE), 1)</f>
        <v>2.9767537860486133</v>
      </c>
      <c r="P14" s="7">
        <f>$B14 * IFERROR(VLOOKUP("buildings|SO2|Minor restricted activity days", US_national_yearly!$D:$AM, 24, FALSE) / VLOOKUP("buildings|SO2|Minor restricted activity days", US_national_yearly!$D:$AM, 10, FALSE), 1)</f>
        <v>3.0009470132242235</v>
      </c>
      <c r="Q14" s="7">
        <f>$B14 * IFERROR(VLOOKUP("buildings|SO2|Minor restricted activity days", US_national_yearly!$D:$AM, 25, FALSE) / VLOOKUP("buildings|SO2|Minor restricted activity days", US_national_yearly!$D:$AM, 10, FALSE), 1)</f>
        <v>3.0251402403998342</v>
      </c>
      <c r="R14" s="7">
        <f>$B14 * IFERROR(VLOOKUP("buildings|SO2|Minor restricted activity days", US_national_yearly!$D:$AM, 26, FALSE) / VLOOKUP("buildings|SO2|Minor restricted activity days", US_national_yearly!$D:$AM, 10, FALSE), 1)</f>
        <v>3.0493334675754453</v>
      </c>
      <c r="S14" s="7">
        <f>$B14 * IFERROR(VLOOKUP("buildings|SO2|Minor restricted activity days", US_national_yearly!$D:$AM, 27, FALSE) / VLOOKUP("buildings|SO2|Minor restricted activity days", US_national_yearly!$D:$AM, 10, FALSE), 1)</f>
        <v>3.0739968920147023</v>
      </c>
      <c r="T14" s="7">
        <f>$B14 * IFERROR(VLOOKUP("buildings|SO2|Minor restricted activity days", US_national_yearly!$D:$AM, 28, FALSE) / VLOOKUP("buildings|SO2|Minor restricted activity days", US_national_yearly!$D:$AM, 10, FALSE), 1)</f>
        <v>3.0986603164539592</v>
      </c>
      <c r="U14" s="7">
        <f>$B14 * IFERROR(VLOOKUP("buildings|SO2|Minor restricted activity days", US_national_yearly!$D:$AM, 29, FALSE) / VLOOKUP("buildings|SO2|Minor restricted activity days", US_national_yearly!$D:$AM, 10, FALSE), 1)</f>
        <v>3.1233237408932162</v>
      </c>
      <c r="V14" s="7">
        <f>$B14 * IFERROR(VLOOKUP("buildings|SO2|Minor restricted activity days", US_national_yearly!$D:$AM, 30, FALSE) / VLOOKUP("buildings|SO2|Minor restricted activity days", US_national_yearly!$D:$AM, 10, FALSE), 1)</f>
        <v>3.1479871653324736</v>
      </c>
      <c r="W14" s="7">
        <f>$B14 * IFERROR(VLOOKUP("buildings|SO2|Minor restricted activity days", US_national_yearly!$D:$AM, 31, FALSE) / VLOOKUP("buildings|SO2|Minor restricted activity days", US_national_yearly!$D:$AM, 10, FALSE), 1)</f>
        <v>3.172650589771731</v>
      </c>
      <c r="X14" s="7">
        <f>$B14 * IFERROR(VLOOKUP("buildings|SO2|Minor restricted activity days", US_national_yearly!$D:$AM, 32, FALSE) / VLOOKUP("buildings|SO2|Minor restricted activity days", US_national_yearly!$D:$AM, 10, FALSE), 1)</f>
        <v>3.1943406442696567</v>
      </c>
      <c r="Y14" s="7">
        <f>$B14 * IFERROR(VLOOKUP("buildings|SO2|Minor restricted activity days", US_national_yearly!$D:$AM, 33, FALSE) / VLOOKUP("buildings|SO2|Minor restricted activity days", US_national_yearly!$D:$AM, 10, FALSE), 1)</f>
        <v>3.2160306987675833</v>
      </c>
      <c r="Z14" s="7">
        <f>$B14 * IFERROR(VLOOKUP("buildings|SO2|Minor restricted activity days", US_national_yearly!$D:$AM, 34, FALSE) / VLOOKUP("buildings|SO2|Minor restricted activity days", US_national_yearly!$D:$AM, 10, FALSE), 1)</f>
        <v>3.237720753265509</v>
      </c>
      <c r="AA14" s="7">
        <f>$B14 * IFERROR(VLOOKUP("buildings|SO2|Minor restricted activity days", US_national_yearly!$D:$AM, 35, FALSE) / VLOOKUP("buildings|SO2|Minor restricted activity days", US_national_yearly!$D:$AM, 10, FALSE), 1)</f>
        <v>3.2594108077634352</v>
      </c>
      <c r="AB14" s="7">
        <f>$B14 * IFERROR(VLOOKUP("buildings|SO2|Minor restricted activity days", US_national_yearly!$D:$AM, 36, FALSE) / VLOOKUP("buildings|SO2|Minor restricted activity days", US_national_yearly!$D:$AM, 10, FALSE), 1)</f>
        <v>3.2811008622613613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0.47227169721153744</v>
      </c>
      <c r="C15" s="7">
        <f>$B15 * IFERROR(VLOOKUP("buildings|SO2|Work loss days", US_national_yearly!$D:$AM, 11, FALSE) / VLOOKUP("buildings|SO2|Work loss days", US_national_yearly!$D:$AM, 10, FALSE), 1)</f>
        <v>0.47380610026467984</v>
      </c>
      <c r="D15" s="7">
        <f>$B15 * IFERROR(VLOOKUP("buildings|SO2|Work loss days", US_national_yearly!$D:$AM, 12, FALSE) / VLOOKUP("buildings|SO2|Work loss days", US_national_yearly!$D:$AM, 10, FALSE), 1)</f>
        <v>0.47534050331782224</v>
      </c>
      <c r="E15" s="7">
        <f>$B15 * IFERROR(VLOOKUP("buildings|SO2|Work loss days", US_national_yearly!$D:$AM, 13, FALSE) / VLOOKUP("buildings|SO2|Work loss days", US_national_yearly!$D:$AM, 10, FALSE), 1)</f>
        <v>0.47687490637096464</v>
      </c>
      <c r="F15" s="7">
        <f>$B15 * IFERROR(VLOOKUP("buildings|SO2|Work loss days", US_national_yearly!$D:$AM, 14, FALSE) / VLOOKUP("buildings|SO2|Work loss days", US_national_yearly!$D:$AM, 10, FALSE), 1)</f>
        <v>0.47840930942410698</v>
      </c>
      <c r="G15" s="7">
        <f>$B15 * IFERROR(VLOOKUP("buildings|SO2|Work loss days", US_national_yearly!$D:$AM, 15, FALSE) / VLOOKUP("buildings|SO2|Work loss days", US_national_yearly!$D:$AM, 10, FALSE), 1)</f>
        <v>0.48041332472325993</v>
      </c>
      <c r="H15" s="7">
        <f>$B15 * IFERROR(VLOOKUP("buildings|SO2|Work loss days", US_national_yearly!$D:$AM, 16, FALSE) / VLOOKUP("buildings|SO2|Work loss days", US_national_yearly!$D:$AM, 10, FALSE), 1)</f>
        <v>0.48241734002241299</v>
      </c>
      <c r="I15" s="7">
        <f>$B15 * IFERROR(VLOOKUP("buildings|SO2|Work loss days", US_national_yearly!$D:$AM, 17, FALSE) / VLOOKUP("buildings|SO2|Work loss days", US_national_yearly!$D:$AM, 10, FALSE), 1)</f>
        <v>0.48534732255885216</v>
      </c>
      <c r="J15" s="7">
        <f>$B15 * IFERROR(VLOOKUP("buildings|SO2|Work loss days", US_national_yearly!$D:$AM, 18, FALSE) / VLOOKUP("buildings|SO2|Work loss days", US_national_yearly!$D:$AM, 10, FALSE), 1)</f>
        <v>0.48827730509529121</v>
      </c>
      <c r="K15" s="7">
        <f>$B15 * IFERROR(VLOOKUP("buildings|SO2|Work loss days", US_national_yearly!$D:$AM, 19, FALSE) / VLOOKUP("buildings|SO2|Work loss days", US_national_yearly!$D:$AM, 10, FALSE), 1)</f>
        <v>0.49120728763173038</v>
      </c>
      <c r="L15" s="7">
        <f>$B15 * IFERROR(VLOOKUP("buildings|SO2|Work loss days", US_national_yearly!$D:$AM, 20, FALSE) / VLOOKUP("buildings|SO2|Work loss days", US_national_yearly!$D:$AM, 10, FALSE), 1)</f>
        <v>0.4941372701681695</v>
      </c>
      <c r="M15" s="7">
        <f>$B15 * IFERROR(VLOOKUP("buildings|SO2|Work loss days", US_national_yearly!$D:$AM, 21, FALSE) / VLOOKUP("buildings|SO2|Work loss days", US_national_yearly!$D:$AM, 10, FALSE), 1)</f>
        <v>0.49706725270460855</v>
      </c>
      <c r="N15" s="7">
        <f>$B15 * IFERROR(VLOOKUP("buildings|SO2|Work loss days", US_national_yearly!$D:$AM, 22, FALSE) / VLOOKUP("buildings|SO2|Work loss days", US_national_yearly!$D:$AM, 10, FALSE), 1)</f>
        <v>0.50074140280842372</v>
      </c>
      <c r="O15" s="7">
        <f>$B15 * IFERROR(VLOOKUP("buildings|SO2|Work loss days", US_national_yearly!$D:$AM, 23, FALSE) / VLOOKUP("buildings|SO2|Work loss days", US_national_yearly!$D:$AM, 10, FALSE), 1)</f>
        <v>0.50441555291223872</v>
      </c>
      <c r="P15" s="7">
        <f>$B15 * IFERROR(VLOOKUP("buildings|SO2|Work loss days", US_national_yearly!$D:$AM, 24, FALSE) / VLOOKUP("buildings|SO2|Work loss days", US_national_yearly!$D:$AM, 10, FALSE), 1)</f>
        <v>0.50808970301605383</v>
      </c>
      <c r="Q15" s="7">
        <f>$B15 * IFERROR(VLOOKUP("buildings|SO2|Work loss days", US_national_yearly!$D:$AM, 25, FALSE) / VLOOKUP("buildings|SO2|Work loss days", US_national_yearly!$D:$AM, 10, FALSE), 1)</f>
        <v>0.51176385311986905</v>
      </c>
      <c r="R15" s="7">
        <f>$B15 * IFERROR(VLOOKUP("buildings|SO2|Work loss days", US_national_yearly!$D:$AM, 26, FALSE) / VLOOKUP("buildings|SO2|Work loss days", US_national_yearly!$D:$AM, 10, FALSE), 1)</f>
        <v>0.51543800322368394</v>
      </c>
      <c r="S15" s="7">
        <f>$B15 * IFERROR(VLOOKUP("buildings|SO2|Work loss days", US_national_yearly!$D:$AM, 27, FALSE) / VLOOKUP("buildings|SO2|Work loss days", US_national_yearly!$D:$AM, 10, FALSE), 1)</f>
        <v>0.51954235072507904</v>
      </c>
      <c r="T15" s="7">
        <f>$B15 * IFERROR(VLOOKUP("buildings|SO2|Work loss days", US_national_yearly!$D:$AM, 28, FALSE) / VLOOKUP("buildings|SO2|Work loss days", US_national_yearly!$D:$AM, 10, FALSE), 1)</f>
        <v>0.52364669822647403</v>
      </c>
      <c r="U15" s="7">
        <f>$B15 * IFERROR(VLOOKUP("buildings|SO2|Work loss days", US_national_yearly!$D:$AM, 29, FALSE) / VLOOKUP("buildings|SO2|Work loss days", US_national_yearly!$D:$AM, 10, FALSE), 1)</f>
        <v>0.52775104572786913</v>
      </c>
      <c r="V15" s="7">
        <f>$B15 * IFERROR(VLOOKUP("buildings|SO2|Work loss days", US_national_yearly!$D:$AM, 30, FALSE) / VLOOKUP("buildings|SO2|Work loss days", US_national_yearly!$D:$AM, 10, FALSE), 1)</f>
        <v>0.53185539322926412</v>
      </c>
      <c r="W15" s="7">
        <f>$B15 * IFERROR(VLOOKUP("buildings|SO2|Work loss days", US_national_yearly!$D:$AM, 31, FALSE) / VLOOKUP("buildings|SO2|Work loss days", US_national_yearly!$D:$AM, 10, FALSE), 1)</f>
        <v>0.53595974073065911</v>
      </c>
      <c r="X15" s="7">
        <f>$B15 * IFERROR(VLOOKUP("buildings|SO2|Work loss days", US_national_yearly!$D:$AM, 32, FALSE) / VLOOKUP("buildings|SO2|Work loss days", US_national_yearly!$D:$AM, 10, FALSE), 1)</f>
        <v>0.53964496099126114</v>
      </c>
      <c r="Y15" s="7">
        <f>$B15 * IFERROR(VLOOKUP("buildings|SO2|Work loss days", US_national_yearly!$D:$AM, 33, FALSE) / VLOOKUP("buildings|SO2|Work loss days", US_national_yearly!$D:$AM, 10, FALSE), 1)</f>
        <v>0.54333018125186328</v>
      </c>
      <c r="Z15" s="7">
        <f>$B15 * IFERROR(VLOOKUP("buildings|SO2|Work loss days", US_national_yearly!$D:$AM, 34, FALSE) / VLOOKUP("buildings|SO2|Work loss days", US_national_yearly!$D:$AM, 10, FALSE), 1)</f>
        <v>0.54701540151246519</v>
      </c>
      <c r="AA15" s="7">
        <f>$B15 * IFERROR(VLOOKUP("buildings|SO2|Work loss days", US_national_yearly!$D:$AM, 35, FALSE) / VLOOKUP("buildings|SO2|Work loss days", US_national_yearly!$D:$AM, 10, FALSE), 1)</f>
        <v>0.55070062177306722</v>
      </c>
      <c r="AB15" s="7">
        <f>$B15 * IFERROR(VLOOKUP("buildings|SO2|Work loss days", US_national_yearly!$D:$AM, 36, FALSE) / VLOOKUP("buildings|SO2|Work loss days", US_national_yearly!$D:$AM, 10, FALSE), 1)</f>
        <v>0.55438584203366914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1.0880972893302428E-3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1.121011534313147E-3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1.1539257792960512E-3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1.1868400242789556E-3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1.2197542692618597E-3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1.2512841444347691E-3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1.2828140196076783E-3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1.309835059114749E-3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1.336856098621819E-3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1.3638771381288895E-3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1.3908981776359598E-3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1.4179192171430298E-3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1.4360633036403427E-3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1.4542073901376556E-3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1.4723514766349687E-3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1.4904955631322814E-3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1.5086396496295942E-3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1.5181812414297785E-3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1.5277228332299627E-3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1.5372644250301467E-3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1.5468060168303309E-3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1.5563476086305149E-3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1.5627548089742454E-3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1.5691620093179757E-3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1.5755692096617059E-3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1.5819764100054364E-3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1.5883836103491669E-3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5.5819869337212218E-2</v>
      </c>
      <c r="C2" s="7">
        <f>$B2 * IFERROR(VLOOKUP("industry|PM25|Premature mortality", US_national_yearly!$D:$AM, 11, FALSE) / VLOOKUP("industry|PM25|Premature mortality", US_national_yearly!$D:$AM, 10, FALSE), 1)</f>
        <v>5.6515009123902088E-2</v>
      </c>
      <c r="D2" s="7">
        <f>$B2 * IFERROR(VLOOKUP("industry|PM25|Premature mortality", US_national_yearly!$D:$AM, 12, FALSE) / VLOOKUP("industry|PM25|Premature mortality", US_national_yearly!$D:$AM, 10, FALSE), 1)</f>
        <v>5.7210148910591944E-2</v>
      </c>
      <c r="E2" s="7">
        <f>$B2 * IFERROR(VLOOKUP("industry|PM25|Premature mortality", US_national_yearly!$D:$AM, 13, FALSE) / VLOOKUP("industry|PM25|Premature mortality", US_national_yearly!$D:$AM, 10, FALSE), 1)</f>
        <v>5.7905288697281815E-2</v>
      </c>
      <c r="F2" s="7">
        <f>$B2 * IFERROR(VLOOKUP("industry|PM25|Premature mortality", US_national_yearly!$D:$AM, 14, FALSE) / VLOOKUP("industry|PM25|Premature mortality", US_national_yearly!$D:$AM, 10, FALSE), 1)</f>
        <v>5.8600428483971678E-2</v>
      </c>
      <c r="G2" s="7">
        <f>$B2 * IFERROR(VLOOKUP("industry|PM25|Premature mortality", US_national_yearly!$D:$AM, 15, FALSE) / VLOOKUP("industry|PM25|Premature mortality", US_national_yearly!$D:$AM, 10, FALSE), 1)</f>
        <v>5.9952812141754908E-2</v>
      </c>
      <c r="H2" s="7">
        <f>$B2 * IFERROR(VLOOKUP("industry|PM25|Premature mortality", US_national_yearly!$D:$AM, 16, FALSE) / VLOOKUP("industry|PM25|Premature mortality", US_national_yearly!$D:$AM, 10, FALSE), 1)</f>
        <v>6.1305195799538137E-2</v>
      </c>
      <c r="I2" s="7">
        <f>$B2 * IFERROR(VLOOKUP("industry|PM25|Premature mortality", US_national_yearly!$D:$AM, 17, FALSE) / VLOOKUP("industry|PM25|Premature mortality", US_national_yearly!$D:$AM, 10, FALSE), 1)</f>
        <v>6.2198170233011094E-2</v>
      </c>
      <c r="J2" s="7">
        <f>$B2 * IFERROR(VLOOKUP("industry|PM25|Premature mortality", US_national_yearly!$D:$AM, 18, FALSE) / VLOOKUP("industry|PM25|Premature mortality", US_national_yearly!$D:$AM, 10, FALSE), 1)</f>
        <v>6.3091144666484036E-2</v>
      </c>
      <c r="K2" s="7">
        <f>$B2 * IFERROR(VLOOKUP("industry|PM25|Premature mortality", US_national_yearly!$D:$AM, 19, FALSE) / VLOOKUP("industry|PM25|Premature mortality", US_national_yearly!$D:$AM, 10, FALSE), 1)</f>
        <v>6.3984119099956993E-2</v>
      </c>
      <c r="L2" s="7">
        <f>$B2 * IFERROR(VLOOKUP("industry|PM25|Premature mortality", US_national_yearly!$D:$AM, 20, FALSE) / VLOOKUP("industry|PM25|Premature mortality", US_national_yearly!$D:$AM, 10, FALSE), 1)</f>
        <v>6.4877093533429936E-2</v>
      </c>
      <c r="M2" s="7">
        <f>$B2 * IFERROR(VLOOKUP("industry|PM25|Premature mortality", US_national_yearly!$D:$AM, 21, FALSE) / VLOOKUP("industry|PM25|Premature mortality", US_national_yearly!$D:$AM, 10, FALSE), 1)</f>
        <v>6.5770067966902893E-2</v>
      </c>
      <c r="N2" s="7">
        <f>$B2 * IFERROR(VLOOKUP("industry|PM25|Premature mortality", US_national_yearly!$D:$AM, 22, FALSE) / VLOOKUP("industry|PM25|Premature mortality", US_national_yearly!$D:$AM, 10, FALSE), 1)</f>
        <v>6.6465771397093351E-2</v>
      </c>
      <c r="O2" s="7">
        <f>$B2 * IFERROR(VLOOKUP("industry|PM25|Premature mortality", US_national_yearly!$D:$AM, 23, FALSE) / VLOOKUP("industry|PM25|Premature mortality", US_national_yearly!$D:$AM, 10, FALSE), 1)</f>
        <v>6.7161474827283782E-2</v>
      </c>
      <c r="P2" s="7">
        <f>$B2 * IFERROR(VLOOKUP("industry|PM25|Premature mortality", US_national_yearly!$D:$AM, 24, FALSE) / VLOOKUP("industry|PM25|Premature mortality", US_national_yearly!$D:$AM, 10, FALSE), 1)</f>
        <v>6.785717825747424E-2</v>
      </c>
      <c r="Q2" s="7">
        <f>$B2 * IFERROR(VLOOKUP("industry|PM25|Premature mortality", US_national_yearly!$D:$AM, 25, FALSE) / VLOOKUP("industry|PM25|Premature mortality", US_national_yearly!$D:$AM, 10, FALSE), 1)</f>
        <v>6.8552881687664685E-2</v>
      </c>
      <c r="R2" s="7">
        <f>$B2 * IFERROR(VLOOKUP("industry|PM25|Premature mortality", US_national_yearly!$D:$AM, 26, FALSE) / VLOOKUP("industry|PM25|Premature mortality", US_national_yearly!$D:$AM, 10, FALSE), 1)</f>
        <v>6.924858511785513E-2</v>
      </c>
      <c r="S2" s="7">
        <f>$B2 * IFERROR(VLOOKUP("industry|PM25|Premature mortality", US_national_yearly!$D:$AM, 27, FALSE) / VLOOKUP("industry|PM25|Premature mortality", US_national_yearly!$D:$AM, 10, FALSE), 1)</f>
        <v>6.9624239166710178E-2</v>
      </c>
      <c r="T2" s="7">
        <f>$B2 * IFERROR(VLOOKUP("industry|PM25|Premature mortality", US_national_yearly!$D:$AM, 28, FALSE) / VLOOKUP("industry|PM25|Premature mortality", US_national_yearly!$D:$AM, 10, FALSE), 1)</f>
        <v>6.999989321556524E-2</v>
      </c>
      <c r="U2" s="7">
        <f>$B2 * IFERROR(VLOOKUP("industry|PM25|Premature mortality", US_national_yearly!$D:$AM, 29, FALSE) / VLOOKUP("industry|PM25|Premature mortality", US_national_yearly!$D:$AM, 10, FALSE), 1)</f>
        <v>7.0375547264420329E-2</v>
      </c>
      <c r="V2" s="7">
        <f>$B2 * IFERROR(VLOOKUP("industry|PM25|Premature mortality", US_national_yearly!$D:$AM, 30, FALSE) / VLOOKUP("industry|PM25|Premature mortality", US_national_yearly!$D:$AM, 10, FALSE), 1)</f>
        <v>7.0751201313275378E-2</v>
      </c>
      <c r="W2" s="7">
        <f>$B2 * IFERROR(VLOOKUP("industry|PM25|Premature mortality", US_national_yearly!$D:$AM, 31, FALSE) / VLOOKUP("industry|PM25|Premature mortality", US_national_yearly!$D:$AM, 10, FALSE), 1)</f>
        <v>7.1126855362130439E-2</v>
      </c>
      <c r="X2" s="7">
        <f>$B2 * IFERROR(VLOOKUP("industry|PM25|Premature mortality", US_national_yearly!$D:$AM, 32, FALSE) / VLOOKUP("industry|PM25|Premature mortality", US_national_yearly!$D:$AM, 10, FALSE), 1)</f>
        <v>7.1204414756303125E-2</v>
      </c>
      <c r="Y2" s="7">
        <f>$B2 * IFERROR(VLOOKUP("industry|PM25|Premature mortality", US_national_yearly!$D:$AM, 33, FALSE) / VLOOKUP("industry|PM25|Premature mortality", US_national_yearly!$D:$AM, 10, FALSE), 1)</f>
        <v>7.1281974150475852E-2</v>
      </c>
      <c r="Z2" s="7">
        <f>$B2 * IFERROR(VLOOKUP("industry|PM25|Premature mortality", US_national_yearly!$D:$AM, 34, FALSE) / VLOOKUP("industry|PM25|Premature mortality", US_national_yearly!$D:$AM, 10, FALSE), 1)</f>
        <v>7.1359533544648551E-2</v>
      </c>
      <c r="AA2" s="7">
        <f>$B2 * IFERROR(VLOOKUP("industry|PM25|Premature mortality", US_national_yearly!$D:$AM, 35, FALSE) / VLOOKUP("industry|PM25|Premature mortality", US_national_yearly!$D:$AM, 10, FALSE), 1)</f>
        <v>7.1437092938821264E-2</v>
      </c>
      <c r="AB2" s="7">
        <f>$B2 * IFERROR(VLOOKUP("industry|PM25|Premature mortality", US_national_yearly!$D:$AM, 36, FALSE) / VLOOKUP("industry|PM25|Premature mortality", US_national_yearly!$D:$AM, 10, FALSE), 1)</f>
        <v>7.1514652332993964E-2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1.0889008069733278E-4</v>
      </c>
      <c r="C3" s="7">
        <f>$B3 * IFERROR(VLOOKUP("industry|PM25|Infant mortality", US_national_yearly!$D:$AM, 11, FALSE) / VLOOKUP("industry|PM25|Infant mortality", US_national_yearly!$D:$AM, 10, FALSE), 1)</f>
        <v>1.0794199122353373E-4</v>
      </c>
      <c r="D3" s="7">
        <f>$B3 * IFERROR(VLOOKUP("industry|PM25|Infant mortality", US_national_yearly!$D:$AM, 12, FALSE) / VLOOKUP("industry|PM25|Infant mortality", US_national_yearly!$D:$AM, 10, FALSE), 1)</f>
        <v>1.0699390174973468E-4</v>
      </c>
      <c r="E3" s="7">
        <f>$B3 * IFERROR(VLOOKUP("industry|PM25|Infant mortality", US_national_yearly!$D:$AM, 13, FALSE) / VLOOKUP("industry|PM25|Infant mortality", US_national_yearly!$D:$AM, 10, FALSE), 1)</f>
        <v>1.0604581227593562E-4</v>
      </c>
      <c r="F3" s="7">
        <f>$B3 * IFERROR(VLOOKUP("industry|PM25|Infant mortality", US_national_yearly!$D:$AM, 14, FALSE) / VLOOKUP("industry|PM25|Infant mortality", US_national_yearly!$D:$AM, 10, FALSE), 1)</f>
        <v>1.0509772280213657E-4</v>
      </c>
      <c r="G3" s="7">
        <f>$B3 * IFERROR(VLOOKUP("industry|PM25|Infant mortality", US_national_yearly!$D:$AM, 15, FALSE) / VLOOKUP("industry|PM25|Infant mortality", US_national_yearly!$D:$AM, 10, FALSE), 1)</f>
        <v>6.9830605763412143E-5</v>
      </c>
      <c r="H3" s="7">
        <f>$B3 * IFERROR(VLOOKUP("industry|PM25|Infant mortality", US_national_yearly!$D:$AM, 16, FALSE) / VLOOKUP("industry|PM25|Infant mortality", US_national_yearly!$D:$AM, 10, FALSE), 1)</f>
        <v>3.4563488724687714E-5</v>
      </c>
      <c r="I3" s="7">
        <f>$B3 * IFERROR(VLOOKUP("industry|PM25|Infant mortality", US_national_yearly!$D:$AM, 17, FALSE) / VLOOKUP("industry|PM25|Infant mortality", US_national_yearly!$D:$AM, 10, FALSE), 1)</f>
        <v>3.4333434616793643E-5</v>
      </c>
      <c r="J3" s="7">
        <f>$B3 * IFERROR(VLOOKUP("industry|PM25|Infant mortality", US_national_yearly!$D:$AM, 18, FALSE) / VLOOKUP("industry|PM25|Infant mortality", US_national_yearly!$D:$AM, 10, FALSE), 1)</f>
        <v>3.4103380508899565E-5</v>
      </c>
      <c r="K3" s="7">
        <f>$B3 * IFERROR(VLOOKUP("industry|PM25|Infant mortality", US_national_yearly!$D:$AM, 19, FALSE) / VLOOKUP("industry|PM25|Infant mortality", US_national_yearly!$D:$AM, 10, FALSE), 1)</f>
        <v>3.3873326401005486E-5</v>
      </c>
      <c r="L3" s="7">
        <f>$B3 * IFERROR(VLOOKUP("industry|PM25|Infant mortality", US_national_yearly!$D:$AM, 20, FALSE) / VLOOKUP("industry|PM25|Infant mortality", US_national_yearly!$D:$AM, 10, FALSE), 1)</f>
        <v>3.3643272293111408E-5</v>
      </c>
      <c r="M3" s="7">
        <f>$B3 * IFERROR(VLOOKUP("industry|PM25|Infant mortality", US_national_yearly!$D:$AM, 21, FALSE) / VLOOKUP("industry|PM25|Infant mortality", US_national_yearly!$D:$AM, 10, FALSE), 1)</f>
        <v>3.3413218185217337E-5</v>
      </c>
      <c r="N3" s="7">
        <f>$B3 * IFERROR(VLOOKUP("industry|PM25|Infant mortality", US_national_yearly!$D:$AM, 22, FALSE) / VLOOKUP("industry|PM25|Infant mortality", US_national_yearly!$D:$AM, 10, FALSE), 1)</f>
        <v>3.3266421261910964E-5</v>
      </c>
      <c r="O3" s="7">
        <f>$B3 * IFERROR(VLOOKUP("industry|PM25|Infant mortality", US_national_yearly!$D:$AM, 23, FALSE) / VLOOKUP("industry|PM25|Infant mortality", US_national_yearly!$D:$AM, 10, FALSE), 1)</f>
        <v>3.3119624338604605E-5</v>
      </c>
      <c r="P3" s="7">
        <f>$B3 * IFERROR(VLOOKUP("industry|PM25|Infant mortality", US_national_yearly!$D:$AM, 24, FALSE) / VLOOKUP("industry|PM25|Infant mortality", US_national_yearly!$D:$AM, 10, FALSE), 1)</f>
        <v>3.2972827415298246E-5</v>
      </c>
      <c r="Q3" s="7">
        <f>$B3 * IFERROR(VLOOKUP("industry|PM25|Infant mortality", US_national_yearly!$D:$AM, 25, FALSE) / VLOOKUP("industry|PM25|Infant mortality", US_national_yearly!$D:$AM, 10, FALSE), 1)</f>
        <v>3.282603049199188E-5</v>
      </c>
      <c r="R3" s="7">
        <f>$B3 * IFERROR(VLOOKUP("industry|PM25|Infant mortality", US_national_yearly!$D:$AM, 26, FALSE) / VLOOKUP("industry|PM25|Infant mortality", US_national_yearly!$D:$AM, 10, FALSE), 1)</f>
        <v>3.2679233568685514E-5</v>
      </c>
      <c r="S3" s="7">
        <f>$B3 * IFERROR(VLOOKUP("industry|PM25|Infant mortality", US_national_yearly!$D:$AM, 27, FALSE) / VLOOKUP("industry|PM25|Infant mortality", US_national_yearly!$D:$AM, 10, FALSE), 1)</f>
        <v>3.2498686607367146E-5</v>
      </c>
      <c r="T3" s="7">
        <f>$B3 * IFERROR(VLOOKUP("industry|PM25|Infant mortality", US_national_yearly!$D:$AM, 28, FALSE) / VLOOKUP("industry|PM25|Infant mortality", US_national_yearly!$D:$AM, 10, FALSE), 1)</f>
        <v>3.2318139646048791E-5</v>
      </c>
      <c r="U3" s="7">
        <f>$B3 * IFERROR(VLOOKUP("industry|PM25|Infant mortality", US_national_yearly!$D:$AM, 29, FALSE) / VLOOKUP("industry|PM25|Infant mortality", US_national_yearly!$D:$AM, 10, FALSE), 1)</f>
        <v>3.2137592684730423E-5</v>
      </c>
      <c r="V3" s="7">
        <f>$B3 * IFERROR(VLOOKUP("industry|PM25|Infant mortality", US_national_yearly!$D:$AM, 30, FALSE) / VLOOKUP("industry|PM25|Infant mortality", US_national_yearly!$D:$AM, 10, FALSE), 1)</f>
        <v>3.1957045723412062E-5</v>
      </c>
      <c r="W3" s="7">
        <f>$B3 * IFERROR(VLOOKUP("industry|PM25|Infant mortality", US_national_yearly!$D:$AM, 31, FALSE) / VLOOKUP("industry|PM25|Infant mortality", US_national_yearly!$D:$AM, 10, FALSE), 1)</f>
        <v>3.1776498762093701E-5</v>
      </c>
      <c r="X3" s="7">
        <f>$B3 * IFERROR(VLOOKUP("industry|PM25|Infant mortality", US_national_yearly!$D:$AM, 32, FALSE) / VLOOKUP("industry|PM25|Infant mortality", US_national_yearly!$D:$AM, 10, FALSE), 1)</f>
        <v>3.1583561710764056E-5</v>
      </c>
      <c r="Y3" s="7">
        <f>$B3 * IFERROR(VLOOKUP("industry|PM25|Infant mortality", US_national_yearly!$D:$AM, 33, FALSE) / VLOOKUP("industry|PM25|Infant mortality", US_national_yearly!$D:$AM, 10, FALSE), 1)</f>
        <v>3.1390624659434411E-5</v>
      </c>
      <c r="Z3" s="7">
        <f>$B3 * IFERROR(VLOOKUP("industry|PM25|Infant mortality", US_national_yearly!$D:$AM, 34, FALSE) / VLOOKUP("industry|PM25|Infant mortality", US_national_yearly!$D:$AM, 10, FALSE), 1)</f>
        <v>3.1197687608104766E-5</v>
      </c>
      <c r="AA3" s="7">
        <f>$B3 * IFERROR(VLOOKUP("industry|PM25|Infant mortality", US_national_yearly!$D:$AM, 35, FALSE) / VLOOKUP("industry|PM25|Infant mortality", US_national_yearly!$D:$AM, 10, FALSE), 1)</f>
        <v>3.1004750556775121E-5</v>
      </c>
      <c r="AB3" s="7">
        <f>$B3 * IFERROR(VLOOKUP("industry|PM25|Infant mortality", US_national_yearly!$D:$AM, 36, FALSE) / VLOOKUP("industry|PM25|Infant mortality", US_national_yearly!$D:$AM, 10, FALSE), 1)</f>
        <v>3.0811813505445475E-5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0.11536853350341575</v>
      </c>
      <c r="C6" s="7">
        <f>$B6 * IFERROR(VLOOKUP("industry|PM25|Asthma symptoms cough", US_national_yearly!$D:$AM, 11, FALSE) / VLOOKUP("industry|PM25|Asthma symptoms cough", US_national_yearly!$D:$AM, 10, FALSE), 1)</f>
        <v>0.11536853350341575</v>
      </c>
      <c r="D6" s="7">
        <f>$B6 * IFERROR(VLOOKUP("industry|PM25|Asthma symptoms cough", US_national_yearly!$D:$AM, 12, FALSE) / VLOOKUP("industry|PM25|Asthma symptoms cough", US_national_yearly!$D:$AM, 10, FALSE), 1)</f>
        <v>0.11536853350341575</v>
      </c>
      <c r="E6" s="7">
        <f>$B6 * IFERROR(VLOOKUP("industry|PM25|Asthma symptoms cough", US_national_yearly!$D:$AM, 13, FALSE) / VLOOKUP("industry|PM25|Asthma symptoms cough", US_national_yearly!$D:$AM, 10, FALSE), 1)</f>
        <v>0.11536853350341575</v>
      </c>
      <c r="F6" s="7">
        <f>$B6 * IFERROR(VLOOKUP("industry|PM25|Asthma symptoms cough", US_national_yearly!$D:$AM, 14, FALSE) / VLOOKUP("industry|PM25|Asthma symptoms cough", US_national_yearly!$D:$AM, 10, FALSE), 1)</f>
        <v>0.11536853350341575</v>
      </c>
      <c r="G6" s="7">
        <f>$B6 * IFERROR(VLOOKUP("industry|PM25|Asthma symptoms cough", US_national_yearly!$D:$AM, 15, FALSE) / VLOOKUP("industry|PM25|Asthma symptoms cough", US_national_yearly!$D:$AM, 10, FALSE), 1)</f>
        <v>0.11536853350341575</v>
      </c>
      <c r="H6" s="7">
        <f>$B6 * IFERROR(VLOOKUP("industry|PM25|Asthma symptoms cough", US_national_yearly!$D:$AM, 16, FALSE) / VLOOKUP("industry|PM25|Asthma symptoms cough", US_national_yearly!$D:$AM, 10, FALSE), 1)</f>
        <v>0.11536853350341575</v>
      </c>
      <c r="I6" s="7">
        <f>$B6 * IFERROR(VLOOKUP("industry|PM25|Asthma symptoms cough", US_national_yearly!$D:$AM, 17, FALSE) / VLOOKUP("industry|PM25|Asthma symptoms cough", US_national_yearly!$D:$AM, 10, FALSE), 1)</f>
        <v>0.11536853350341575</v>
      </c>
      <c r="J6" s="7">
        <f>$B6 * IFERROR(VLOOKUP("industry|PM25|Asthma symptoms cough", US_national_yearly!$D:$AM, 18, FALSE) / VLOOKUP("industry|PM25|Asthma symptoms cough", US_national_yearly!$D:$AM, 10, FALSE), 1)</f>
        <v>0.11536853350341575</v>
      </c>
      <c r="K6" s="7">
        <f>$B6 * IFERROR(VLOOKUP("industry|PM25|Asthma symptoms cough", US_national_yearly!$D:$AM, 19, FALSE) / VLOOKUP("industry|PM25|Asthma symptoms cough", US_national_yearly!$D:$AM, 10, FALSE), 1)</f>
        <v>0.11536853350341575</v>
      </c>
      <c r="L6" s="7">
        <f>$B6 * IFERROR(VLOOKUP("industry|PM25|Asthma symptoms cough", US_national_yearly!$D:$AM, 20, FALSE) / VLOOKUP("industry|PM25|Asthma symptoms cough", US_national_yearly!$D:$AM, 10, FALSE), 1)</f>
        <v>0.11536853350341575</v>
      </c>
      <c r="M6" s="7">
        <f>$B6 * IFERROR(VLOOKUP("industry|PM25|Asthma symptoms cough", US_national_yearly!$D:$AM, 21, FALSE) / VLOOKUP("industry|PM25|Asthma symptoms cough", US_national_yearly!$D:$AM, 10, FALSE), 1)</f>
        <v>0.11536853350341575</v>
      </c>
      <c r="N6" s="7">
        <f>$B6 * IFERROR(VLOOKUP("industry|PM25|Asthma symptoms cough", US_national_yearly!$D:$AM, 22, FALSE) / VLOOKUP("industry|PM25|Asthma symptoms cough", US_national_yearly!$D:$AM, 10, FALSE), 1)</f>
        <v>0.11536853350341575</v>
      </c>
      <c r="O6" s="7">
        <f>$B6 * IFERROR(VLOOKUP("industry|PM25|Asthma symptoms cough", US_national_yearly!$D:$AM, 23, FALSE) / VLOOKUP("industry|PM25|Asthma symptoms cough", US_national_yearly!$D:$AM, 10, FALSE), 1)</f>
        <v>0.11536853350341575</v>
      </c>
      <c r="P6" s="7">
        <f>$B6 * IFERROR(VLOOKUP("industry|PM25|Asthma symptoms cough", US_national_yearly!$D:$AM, 24, FALSE) / VLOOKUP("industry|PM25|Asthma symptoms cough", US_national_yearly!$D:$AM, 10, FALSE), 1)</f>
        <v>0.11536853350341575</v>
      </c>
      <c r="Q6" s="7">
        <f>$B6 * IFERROR(VLOOKUP("industry|PM25|Asthma symptoms cough", US_national_yearly!$D:$AM, 25, FALSE) / VLOOKUP("industry|PM25|Asthma symptoms cough", US_national_yearly!$D:$AM, 10, FALSE), 1)</f>
        <v>0.11536853350341575</v>
      </c>
      <c r="R6" s="7">
        <f>$B6 * IFERROR(VLOOKUP("industry|PM25|Asthma symptoms cough", US_national_yearly!$D:$AM, 26, FALSE) / VLOOKUP("industry|PM25|Asthma symptoms cough", US_national_yearly!$D:$AM, 10, FALSE), 1)</f>
        <v>0.11536853350341575</v>
      </c>
      <c r="S6" s="7">
        <f>$B6 * IFERROR(VLOOKUP("industry|PM25|Asthma symptoms cough", US_national_yearly!$D:$AM, 27, FALSE) / VLOOKUP("industry|PM25|Asthma symptoms cough", US_national_yearly!$D:$AM, 10, FALSE), 1)</f>
        <v>0.11536853350341575</v>
      </c>
      <c r="T6" s="7">
        <f>$B6 * IFERROR(VLOOKUP("industry|PM25|Asthma symptoms cough", US_national_yearly!$D:$AM, 28, FALSE) / VLOOKUP("industry|PM25|Asthma symptoms cough", US_national_yearly!$D:$AM, 10, FALSE), 1)</f>
        <v>0.11536853350341575</v>
      </c>
      <c r="U6" s="7">
        <f>$B6 * IFERROR(VLOOKUP("industry|PM25|Asthma symptoms cough", US_national_yearly!$D:$AM, 29, FALSE) / VLOOKUP("industry|PM25|Asthma symptoms cough", US_national_yearly!$D:$AM, 10, FALSE), 1)</f>
        <v>0.11536853350341575</v>
      </c>
      <c r="V6" s="7">
        <f>$B6 * IFERROR(VLOOKUP("industry|PM25|Asthma symptoms cough", US_national_yearly!$D:$AM, 30, FALSE) / VLOOKUP("industry|PM25|Asthma symptoms cough", US_national_yearly!$D:$AM, 10, FALSE), 1)</f>
        <v>0.11536853350341575</v>
      </c>
      <c r="W6" s="7">
        <f>$B6 * IFERROR(VLOOKUP("industry|PM25|Asthma symptoms cough", US_national_yearly!$D:$AM, 31, FALSE) / VLOOKUP("industry|PM25|Asthma symptoms cough", US_national_yearly!$D:$AM, 10, FALSE), 1)</f>
        <v>0.11536853350341575</v>
      </c>
      <c r="X6" s="7">
        <f>$B6 * IFERROR(VLOOKUP("industry|PM25|Asthma symptoms cough", US_national_yearly!$D:$AM, 32, FALSE) / VLOOKUP("industry|PM25|Asthma symptoms cough", US_national_yearly!$D:$AM, 10, FALSE), 1)</f>
        <v>0.11536853350341575</v>
      </c>
      <c r="Y6" s="7">
        <f>$B6 * IFERROR(VLOOKUP("industry|PM25|Asthma symptoms cough", US_national_yearly!$D:$AM, 33, FALSE) / VLOOKUP("industry|PM25|Asthma symptoms cough", US_national_yearly!$D:$AM, 10, FALSE), 1)</f>
        <v>0.11536853350341575</v>
      </c>
      <c r="Z6" s="7">
        <f>$B6 * IFERROR(VLOOKUP("industry|PM25|Asthma symptoms cough", US_national_yearly!$D:$AM, 34, FALSE) / VLOOKUP("industry|PM25|Asthma symptoms cough", US_national_yearly!$D:$AM, 10, FALSE), 1)</f>
        <v>0.11536853350341575</v>
      </c>
      <c r="AA6" s="7">
        <f>$B6 * IFERROR(VLOOKUP("industry|PM25|Asthma symptoms cough", US_national_yearly!$D:$AM, 35, FALSE) / VLOOKUP("industry|PM25|Asthma symptoms cough", US_national_yearly!$D:$AM, 10, FALSE), 1)</f>
        <v>0.11536853350341575</v>
      </c>
      <c r="AB6" s="7">
        <f>$B6 * IFERROR(VLOOKUP("industry|PM25|Asthma symptoms cough", US_national_yearly!$D:$AM, 36, FALSE) / VLOOKUP("industry|PM25|Asthma symptoms cough", US_national_yearly!$D:$AM, 10, FALSE), 1)</f>
        <v>0.11536853350341575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0.15533305922668447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0.15533305922668447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0.15533305922668447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0.15533305922668447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0.15533305922668447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0.15533305922668447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0.15533305922668447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0.15533305922668447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0.15533305922668447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0.15533305922668447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0.15533305922668447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0.15533305922668447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0.15533305922668447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0.15533305922668447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0.15533305922668447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0.15533305922668447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0.15533305922668447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0.15533305922668447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0.15533305922668447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0.15533305922668447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0.15533305922668447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0.15533305922668447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0.15533305922668447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0.15533305922668447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0.15533305922668447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0.15533305922668447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0.15533305922668447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0.23742014324490715</v>
      </c>
      <c r="C8" s="7">
        <f>$B8 * IFERROR(VLOOKUP("industry|PM25|Asthma symptoms wheeze", US_national_yearly!$D:$AM, 11, FALSE) / VLOOKUP("industry|PM25|Asthma symptoms wheeze", US_national_yearly!$D:$AM, 10, FALSE), 1)</f>
        <v>0.23742014324490715</v>
      </c>
      <c r="D8" s="7">
        <f>$B8 * IFERROR(VLOOKUP("industry|PM25|Asthma symptoms wheeze", US_national_yearly!$D:$AM, 12, FALSE) / VLOOKUP("industry|PM25|Asthma symptoms wheeze", US_national_yearly!$D:$AM, 10, FALSE), 1)</f>
        <v>0.23742014324490715</v>
      </c>
      <c r="E8" s="7">
        <f>$B8 * IFERROR(VLOOKUP("industry|PM25|Asthma symptoms wheeze", US_national_yearly!$D:$AM, 13, FALSE) / VLOOKUP("industry|PM25|Asthma symptoms wheeze", US_national_yearly!$D:$AM, 10, FALSE), 1)</f>
        <v>0.23742014324490715</v>
      </c>
      <c r="F8" s="7">
        <f>$B8 * IFERROR(VLOOKUP("industry|PM25|Asthma symptoms wheeze", US_national_yearly!$D:$AM, 14, FALSE) / VLOOKUP("industry|PM25|Asthma symptoms wheeze", US_national_yearly!$D:$AM, 10, FALSE), 1)</f>
        <v>0.23742014324490715</v>
      </c>
      <c r="G8" s="7">
        <f>$B8 * IFERROR(VLOOKUP("industry|PM25|Asthma symptoms wheeze", US_national_yearly!$D:$AM, 15, FALSE) / VLOOKUP("industry|PM25|Asthma symptoms wheeze", US_national_yearly!$D:$AM, 10, FALSE), 1)</f>
        <v>0.23742014324490715</v>
      </c>
      <c r="H8" s="7">
        <f>$B8 * IFERROR(VLOOKUP("industry|PM25|Asthma symptoms wheeze", US_national_yearly!$D:$AM, 16, FALSE) / VLOOKUP("industry|PM25|Asthma symptoms wheeze", US_national_yearly!$D:$AM, 10, FALSE), 1)</f>
        <v>0.23742014324490715</v>
      </c>
      <c r="I8" s="7">
        <f>$B8 * IFERROR(VLOOKUP("industry|PM25|Asthma symptoms wheeze", US_national_yearly!$D:$AM, 17, FALSE) / VLOOKUP("industry|PM25|Asthma symptoms wheeze", US_national_yearly!$D:$AM, 10, FALSE), 1)</f>
        <v>0.23742014324490715</v>
      </c>
      <c r="J8" s="7">
        <f>$B8 * IFERROR(VLOOKUP("industry|PM25|Asthma symptoms wheeze", US_national_yearly!$D:$AM, 18, FALSE) / VLOOKUP("industry|PM25|Asthma symptoms wheeze", US_national_yearly!$D:$AM, 10, FALSE), 1)</f>
        <v>0.23742014324490715</v>
      </c>
      <c r="K8" s="7">
        <f>$B8 * IFERROR(VLOOKUP("industry|PM25|Asthma symptoms wheeze", US_national_yearly!$D:$AM, 19, FALSE) / VLOOKUP("industry|PM25|Asthma symptoms wheeze", US_national_yearly!$D:$AM, 10, FALSE), 1)</f>
        <v>0.23742014324490715</v>
      </c>
      <c r="L8" s="7">
        <f>$B8 * IFERROR(VLOOKUP("industry|PM25|Asthma symptoms wheeze", US_national_yearly!$D:$AM, 20, FALSE) / VLOOKUP("industry|PM25|Asthma symptoms wheeze", US_national_yearly!$D:$AM, 10, FALSE), 1)</f>
        <v>0.23742014324490715</v>
      </c>
      <c r="M8" s="7">
        <f>$B8 * IFERROR(VLOOKUP("industry|PM25|Asthma symptoms wheeze", US_national_yearly!$D:$AM, 21, FALSE) / VLOOKUP("industry|PM25|Asthma symptoms wheeze", US_national_yearly!$D:$AM, 10, FALSE), 1)</f>
        <v>0.23742014324490715</v>
      </c>
      <c r="N8" s="7">
        <f>$B8 * IFERROR(VLOOKUP("industry|PM25|Asthma symptoms wheeze", US_national_yearly!$D:$AM, 22, FALSE) / VLOOKUP("industry|PM25|Asthma symptoms wheeze", US_national_yearly!$D:$AM, 10, FALSE), 1)</f>
        <v>0.23742014324490715</v>
      </c>
      <c r="O8" s="7">
        <f>$B8 * IFERROR(VLOOKUP("industry|PM25|Asthma symptoms wheeze", US_national_yearly!$D:$AM, 23, FALSE) / VLOOKUP("industry|PM25|Asthma symptoms wheeze", US_national_yearly!$D:$AM, 10, FALSE), 1)</f>
        <v>0.23742014324490715</v>
      </c>
      <c r="P8" s="7">
        <f>$B8 * IFERROR(VLOOKUP("industry|PM25|Asthma symptoms wheeze", US_national_yearly!$D:$AM, 24, FALSE) / VLOOKUP("industry|PM25|Asthma symptoms wheeze", US_national_yearly!$D:$AM, 10, FALSE), 1)</f>
        <v>0.23742014324490715</v>
      </c>
      <c r="Q8" s="7">
        <f>$B8 * IFERROR(VLOOKUP("industry|PM25|Asthma symptoms wheeze", US_national_yearly!$D:$AM, 25, FALSE) / VLOOKUP("industry|PM25|Asthma symptoms wheeze", US_national_yearly!$D:$AM, 10, FALSE), 1)</f>
        <v>0.23742014324490715</v>
      </c>
      <c r="R8" s="7">
        <f>$B8 * IFERROR(VLOOKUP("industry|PM25|Asthma symptoms wheeze", US_national_yearly!$D:$AM, 26, FALSE) / VLOOKUP("industry|PM25|Asthma symptoms wheeze", US_national_yearly!$D:$AM, 10, FALSE), 1)</f>
        <v>0.23742014324490715</v>
      </c>
      <c r="S8" s="7">
        <f>$B8 * IFERROR(VLOOKUP("industry|PM25|Asthma symptoms wheeze", US_national_yearly!$D:$AM, 27, FALSE) / VLOOKUP("industry|PM25|Asthma symptoms wheeze", US_national_yearly!$D:$AM, 10, FALSE), 1)</f>
        <v>0.23742014324490715</v>
      </c>
      <c r="T8" s="7">
        <f>$B8 * IFERROR(VLOOKUP("industry|PM25|Asthma symptoms wheeze", US_national_yearly!$D:$AM, 28, FALSE) / VLOOKUP("industry|PM25|Asthma symptoms wheeze", US_national_yearly!$D:$AM, 10, FALSE), 1)</f>
        <v>0.23742014324490715</v>
      </c>
      <c r="U8" s="7">
        <f>$B8 * IFERROR(VLOOKUP("industry|PM25|Asthma symptoms wheeze", US_national_yearly!$D:$AM, 29, FALSE) / VLOOKUP("industry|PM25|Asthma symptoms wheeze", US_national_yearly!$D:$AM, 10, FALSE), 1)</f>
        <v>0.23742014324490715</v>
      </c>
      <c r="V8" s="7">
        <f>$B8 * IFERROR(VLOOKUP("industry|PM25|Asthma symptoms wheeze", US_national_yearly!$D:$AM, 30, FALSE) / VLOOKUP("industry|PM25|Asthma symptoms wheeze", US_national_yearly!$D:$AM, 10, FALSE), 1)</f>
        <v>0.23742014324490715</v>
      </c>
      <c r="W8" s="7">
        <f>$B8 * IFERROR(VLOOKUP("industry|PM25|Asthma symptoms wheeze", US_national_yearly!$D:$AM, 31, FALSE) / VLOOKUP("industry|PM25|Asthma symptoms wheeze", US_national_yearly!$D:$AM, 10, FALSE), 1)</f>
        <v>0.23742014324490715</v>
      </c>
      <c r="X8" s="7">
        <f>$B8 * IFERROR(VLOOKUP("industry|PM25|Asthma symptoms wheeze", US_national_yearly!$D:$AM, 32, FALSE) / VLOOKUP("industry|PM25|Asthma symptoms wheeze", US_national_yearly!$D:$AM, 10, FALSE), 1)</f>
        <v>0.23742014324490715</v>
      </c>
      <c r="Y8" s="7">
        <f>$B8 * IFERROR(VLOOKUP("industry|PM25|Asthma symptoms wheeze", US_national_yearly!$D:$AM, 33, FALSE) / VLOOKUP("industry|PM25|Asthma symptoms wheeze", US_national_yearly!$D:$AM, 10, FALSE), 1)</f>
        <v>0.23742014324490715</v>
      </c>
      <c r="Z8" s="7">
        <f>$B8 * IFERROR(VLOOKUP("industry|PM25|Asthma symptoms wheeze", US_national_yearly!$D:$AM, 34, FALSE) / VLOOKUP("industry|PM25|Asthma symptoms wheeze", US_national_yearly!$D:$AM, 10, FALSE), 1)</f>
        <v>0.23742014324490715</v>
      </c>
      <c r="AA8" s="7">
        <f>$B8 * IFERROR(VLOOKUP("industry|PM25|Asthma symptoms wheeze", US_national_yearly!$D:$AM, 35, FALSE) / VLOOKUP("industry|PM25|Asthma symptoms wheeze", US_national_yearly!$D:$AM, 10, FALSE), 1)</f>
        <v>0.23742014324490715</v>
      </c>
      <c r="AB8" s="7">
        <f>$B8 * IFERROR(VLOOKUP("industry|PM25|Asthma symptoms wheeze", US_national_yearly!$D:$AM, 36, FALSE) / VLOOKUP("industry|PM25|Asthma symptoms wheeze", US_national_yearly!$D:$AM, 10, FALSE), 1)</f>
        <v>0.23742014324490715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5.2479517740106254E-3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5.2777473542847198E-3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5.307542934558815E-3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5.3373385148329094E-3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5.3671340951070056E-3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5.3993487374782182E-3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5.4315633798494318E-3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5.4621230209483222E-3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5.4926826620472127E-3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5.5232423031461022E-3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5.5538019442449927E-3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5.5843615853438831E-3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5.6059755634448368E-3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5.6275895415457888E-3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5.6492035196467425E-3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5.6708174977476954E-3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5.6924314758486491E-3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5.7128172784934768E-3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5.7332030811383045E-3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5.7535888837831331E-3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5.7739746864279608E-3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5.7943604890727893E-3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5.8139890532044915E-3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5.8336176173361945E-3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5.8532461814678974E-3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5.8728747455996013E-3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5.8925033097313034E-3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2.9739983628763702E-2</v>
      </c>
      <c r="C13" s="7">
        <f>$B13 * IFERROR(VLOOKUP("industry|PM25|Non-fatal heart attacks", US_national_yearly!$D:$AM, 11, FALSE) / VLOOKUP("industry|PM25|Non-fatal heart attacks", US_national_yearly!$D:$AM, 10, FALSE), 1)</f>
        <v>3.0605722350196551E-2</v>
      </c>
      <c r="D13" s="7">
        <f>$B13 * IFERROR(VLOOKUP("industry|PM25|Non-fatal heart attacks", US_national_yearly!$D:$AM, 12, FALSE) / VLOOKUP("industry|PM25|Non-fatal heart attacks", US_national_yearly!$D:$AM, 10, FALSE), 1)</f>
        <v>3.1471461071629396E-2</v>
      </c>
      <c r="E13" s="7">
        <f>$B13 * IFERROR(VLOOKUP("industry|PM25|Non-fatal heart attacks", US_national_yearly!$D:$AM, 13, FALSE) / VLOOKUP("industry|PM25|Non-fatal heart attacks", US_national_yearly!$D:$AM, 10, FALSE), 1)</f>
        <v>3.2337199793062245E-2</v>
      </c>
      <c r="F13" s="7">
        <f>$B13 * IFERROR(VLOOKUP("industry|PM25|Non-fatal heart attacks", US_national_yearly!$D:$AM, 14, FALSE) / VLOOKUP("industry|PM25|Non-fatal heart attacks", US_national_yearly!$D:$AM, 10, FALSE), 1)</f>
        <v>3.3202938514495094E-2</v>
      </c>
      <c r="G13" s="7">
        <f>$B13 * IFERROR(VLOOKUP("industry|PM25|Non-fatal heart attacks", US_national_yearly!$D:$AM, 15, FALSE) / VLOOKUP("industry|PM25|Non-fatal heart attacks", US_national_yearly!$D:$AM, 10, FALSE), 1)</f>
        <v>3.4020256740412071E-2</v>
      </c>
      <c r="H13" s="7">
        <f>$B13 * IFERROR(VLOOKUP("industry|PM25|Non-fatal heart attacks", US_national_yearly!$D:$AM, 16, FALSE) / VLOOKUP("industry|PM25|Non-fatal heart attacks", US_national_yearly!$D:$AM, 10, FALSE), 1)</f>
        <v>3.4837574966329048E-2</v>
      </c>
      <c r="I13" s="7">
        <f>$B13 * IFERROR(VLOOKUP("industry|PM25|Non-fatal heart attacks", US_national_yearly!$D:$AM, 17, FALSE) / VLOOKUP("industry|PM25|Non-fatal heart attacks", US_national_yearly!$D:$AM, 10, FALSE), 1)</f>
        <v>3.5497566981880731E-2</v>
      </c>
      <c r="J13" s="7">
        <f>$B13 * IFERROR(VLOOKUP("industry|PM25|Non-fatal heart attacks", US_national_yearly!$D:$AM, 18, FALSE) / VLOOKUP("industry|PM25|Non-fatal heart attacks", US_national_yearly!$D:$AM, 10, FALSE), 1)</f>
        <v>3.6157558997432414E-2</v>
      </c>
      <c r="K13" s="7">
        <f>$B13 * IFERROR(VLOOKUP("industry|PM25|Non-fatal heart attacks", US_national_yearly!$D:$AM, 19, FALSE) / VLOOKUP("industry|PM25|Non-fatal heart attacks", US_national_yearly!$D:$AM, 10, FALSE), 1)</f>
        <v>3.681755101298409E-2</v>
      </c>
      <c r="L13" s="7">
        <f>$B13 * IFERROR(VLOOKUP("industry|PM25|Non-fatal heart attacks", US_national_yearly!$D:$AM, 20, FALSE) / VLOOKUP("industry|PM25|Non-fatal heart attacks", US_national_yearly!$D:$AM, 10, FALSE), 1)</f>
        <v>3.7477543028535766E-2</v>
      </c>
      <c r="M13" s="7">
        <f>$B13 * IFERROR(VLOOKUP("industry|PM25|Non-fatal heart attacks", US_national_yearly!$D:$AM, 21, FALSE) / VLOOKUP("industry|PM25|Non-fatal heart attacks", US_national_yearly!$D:$AM, 10, FALSE), 1)</f>
        <v>3.8137535044087449E-2</v>
      </c>
      <c r="N13" s="7">
        <f>$B13 * IFERROR(VLOOKUP("industry|PM25|Non-fatal heart attacks", US_national_yearly!$D:$AM, 22, FALSE) / VLOOKUP("industry|PM25|Non-fatal heart attacks", US_national_yearly!$D:$AM, 10, FALSE), 1)</f>
        <v>3.8564256637708134E-2</v>
      </c>
      <c r="O13" s="7">
        <f>$B13 * IFERROR(VLOOKUP("industry|PM25|Non-fatal heart attacks", US_national_yearly!$D:$AM, 23, FALSE) / VLOOKUP("industry|PM25|Non-fatal heart attacks", US_national_yearly!$D:$AM, 10, FALSE), 1)</f>
        <v>3.899097823132882E-2</v>
      </c>
      <c r="P13" s="7">
        <f>$B13 * IFERROR(VLOOKUP("industry|PM25|Non-fatal heart attacks", US_national_yearly!$D:$AM, 24, FALSE) / VLOOKUP("industry|PM25|Non-fatal heart attacks", US_national_yearly!$D:$AM, 10, FALSE), 1)</f>
        <v>3.9417699824949505E-2</v>
      </c>
      <c r="Q13" s="7">
        <f>$B13 * IFERROR(VLOOKUP("industry|PM25|Non-fatal heart attacks", US_national_yearly!$D:$AM, 25, FALSE) / VLOOKUP("industry|PM25|Non-fatal heart attacks", US_national_yearly!$D:$AM, 10, FALSE), 1)</f>
        <v>3.9844421418570183E-2</v>
      </c>
      <c r="R13" s="7">
        <f>$B13 * IFERROR(VLOOKUP("industry|PM25|Non-fatal heart attacks", US_national_yearly!$D:$AM, 26, FALSE) / VLOOKUP("industry|PM25|Non-fatal heart attacks", US_national_yearly!$D:$AM, 10, FALSE), 1)</f>
        <v>4.0271143012190869E-2</v>
      </c>
      <c r="S13" s="7">
        <f>$B13 * IFERROR(VLOOKUP("industry|PM25|Non-fatal heart attacks", US_national_yearly!$D:$AM, 27, FALSE) / VLOOKUP("industry|PM25|Non-fatal heart attacks", US_national_yearly!$D:$AM, 10, FALSE), 1)</f>
        <v>4.0499056632468854E-2</v>
      </c>
      <c r="T13" s="7">
        <f>$B13 * IFERROR(VLOOKUP("industry|PM25|Non-fatal heart attacks", US_national_yearly!$D:$AM, 28, FALSE) / VLOOKUP("industry|PM25|Non-fatal heart attacks", US_national_yearly!$D:$AM, 10, FALSE), 1)</f>
        <v>4.0726970252746852E-2</v>
      </c>
      <c r="U13" s="7">
        <f>$B13 * IFERROR(VLOOKUP("industry|PM25|Non-fatal heart attacks", US_national_yearly!$D:$AM, 29, FALSE) / VLOOKUP("industry|PM25|Non-fatal heart attacks", US_national_yearly!$D:$AM, 10, FALSE), 1)</f>
        <v>4.0954883873024844E-2</v>
      </c>
      <c r="V13" s="7">
        <f>$B13 * IFERROR(VLOOKUP("industry|PM25|Non-fatal heart attacks", US_national_yearly!$D:$AM, 30, FALSE) / VLOOKUP("industry|PM25|Non-fatal heart attacks", US_national_yearly!$D:$AM, 10, FALSE), 1)</f>
        <v>4.1182797493302822E-2</v>
      </c>
      <c r="W13" s="7">
        <f>$B13 * IFERROR(VLOOKUP("industry|PM25|Non-fatal heart attacks", US_national_yearly!$D:$AM, 31, FALSE) / VLOOKUP("industry|PM25|Non-fatal heart attacks", US_national_yearly!$D:$AM, 10, FALSE), 1)</f>
        <v>4.1410711113580821E-2</v>
      </c>
      <c r="X13" s="7">
        <f>$B13 * IFERROR(VLOOKUP("industry|PM25|Non-fatal heart attacks", US_national_yearly!$D:$AM, 32, FALSE) / VLOOKUP("industry|PM25|Non-fatal heart attacks", US_national_yearly!$D:$AM, 10, FALSE), 1)</f>
        <v>4.158661337494176E-2</v>
      </c>
      <c r="Y13" s="7">
        <f>$B13 * IFERROR(VLOOKUP("industry|PM25|Non-fatal heart attacks", US_national_yearly!$D:$AM, 33, FALSE) / VLOOKUP("industry|PM25|Non-fatal heart attacks", US_national_yearly!$D:$AM, 10, FALSE), 1)</f>
        <v>4.1762515636302691E-2</v>
      </c>
      <c r="Z13" s="7">
        <f>$B13 * IFERROR(VLOOKUP("industry|PM25|Non-fatal heart attacks", US_national_yearly!$D:$AM, 34, FALSE) / VLOOKUP("industry|PM25|Non-fatal heart attacks", US_national_yearly!$D:$AM, 10, FALSE), 1)</f>
        <v>4.193841789766363E-2</v>
      </c>
      <c r="AA13" s="7">
        <f>$B13 * IFERROR(VLOOKUP("industry|PM25|Non-fatal heart attacks", US_national_yearly!$D:$AM, 35, FALSE) / VLOOKUP("industry|PM25|Non-fatal heart attacks", US_national_yearly!$D:$AM, 10, FALSE), 1)</f>
        <v>4.2114320159024575E-2</v>
      </c>
      <c r="AB13" s="7">
        <f>$B13 * IFERROR(VLOOKUP("industry|PM25|Non-fatal heart attacks", US_national_yearly!$D:$AM, 36, FALSE) / VLOOKUP("industry|PM25|Non-fatal heart attacks", US_national_yearly!$D:$AM, 10, FALSE), 1)</f>
        <v>4.2290222420385513E-2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16.358599162643348</v>
      </c>
      <c r="C14" s="7">
        <f>$B14 * IFERROR(VLOOKUP("industry|PM25|Minor restricted activity days", US_national_yearly!$D:$AM, 11, FALSE) / VLOOKUP("industry|PM25|Minor restricted activity days", US_national_yearly!$D:$AM, 10, FALSE), 1)</f>
        <v>16.39866408352507</v>
      </c>
      <c r="D14" s="7">
        <f>$B14 * IFERROR(VLOOKUP("industry|PM25|Minor restricted activity days", US_national_yearly!$D:$AM, 12, FALSE) / VLOOKUP("industry|PM25|Minor restricted activity days", US_national_yearly!$D:$AM, 10, FALSE), 1)</f>
        <v>16.438729004406799</v>
      </c>
      <c r="E14" s="7">
        <f>$B14 * IFERROR(VLOOKUP("industry|PM25|Minor restricted activity days", US_national_yearly!$D:$AM, 13, FALSE) / VLOOKUP("industry|PM25|Minor restricted activity days", US_national_yearly!$D:$AM, 10, FALSE), 1)</f>
        <v>16.478793925288521</v>
      </c>
      <c r="F14" s="7">
        <f>$B14 * IFERROR(VLOOKUP("industry|PM25|Minor restricted activity days", US_national_yearly!$D:$AM, 14, FALSE) / VLOOKUP("industry|PM25|Minor restricted activity days", US_national_yearly!$D:$AM, 10, FALSE), 1)</f>
        <v>16.518858846170243</v>
      </c>
      <c r="G14" s="7">
        <f>$B14 * IFERROR(VLOOKUP("industry|PM25|Minor restricted activity days", US_national_yearly!$D:$AM, 15, FALSE) / VLOOKUP("industry|PM25|Minor restricted activity days", US_national_yearly!$D:$AM, 10, FALSE), 1)</f>
        <v>16.577667638326357</v>
      </c>
      <c r="H14" s="7">
        <f>$B14 * IFERROR(VLOOKUP("industry|PM25|Minor restricted activity days", US_national_yearly!$D:$AM, 16, FALSE) / VLOOKUP("industry|PM25|Minor restricted activity days", US_national_yearly!$D:$AM, 10, FALSE), 1)</f>
        <v>16.636476430482467</v>
      </c>
      <c r="I14" s="7">
        <f>$B14 * IFERROR(VLOOKUP("industry|PM25|Minor restricted activity days", US_national_yearly!$D:$AM, 17, FALSE) / VLOOKUP("industry|PM25|Minor restricted activity days", US_national_yearly!$D:$AM, 10, FALSE), 1)</f>
        <v>16.736377447003161</v>
      </c>
      <c r="J14" s="7">
        <f>$B14 * IFERROR(VLOOKUP("industry|PM25|Minor restricted activity days", US_national_yearly!$D:$AM, 18, FALSE) / VLOOKUP("industry|PM25|Minor restricted activity days", US_national_yearly!$D:$AM, 10, FALSE), 1)</f>
        <v>16.836278463523861</v>
      </c>
      <c r="K14" s="7">
        <f>$B14 * IFERROR(VLOOKUP("industry|PM25|Minor restricted activity days", US_national_yearly!$D:$AM, 19, FALSE) / VLOOKUP("industry|PM25|Minor restricted activity days", US_national_yearly!$D:$AM, 10, FALSE), 1)</f>
        <v>16.936179480044554</v>
      </c>
      <c r="L14" s="7">
        <f>$B14 * IFERROR(VLOOKUP("industry|PM25|Minor restricted activity days", US_national_yearly!$D:$AM, 20, FALSE) / VLOOKUP("industry|PM25|Minor restricted activity days", US_national_yearly!$D:$AM, 10, FALSE), 1)</f>
        <v>17.036080496565248</v>
      </c>
      <c r="M14" s="7">
        <f>$B14 * IFERROR(VLOOKUP("industry|PM25|Minor restricted activity days", US_national_yearly!$D:$AM, 21, FALSE) / VLOOKUP("industry|PM25|Minor restricted activity days", US_national_yearly!$D:$AM, 10, FALSE), 1)</f>
        <v>17.135981513085945</v>
      </c>
      <c r="N14" s="7">
        <f>$B14 * IFERROR(VLOOKUP("industry|PM25|Minor restricted activity days", US_national_yearly!$D:$AM, 22, FALSE) / VLOOKUP("industry|PM25|Minor restricted activity days", US_national_yearly!$D:$AM, 10, FALSE), 1)</f>
        <v>17.27245616597251</v>
      </c>
      <c r="O14" s="7">
        <f>$B14 * IFERROR(VLOOKUP("industry|PM25|Minor restricted activity days", US_national_yearly!$D:$AM, 23, FALSE) / VLOOKUP("industry|PM25|Minor restricted activity days", US_national_yearly!$D:$AM, 10, FALSE), 1)</f>
        <v>17.408930818859094</v>
      </c>
      <c r="P14" s="7">
        <f>$B14 * IFERROR(VLOOKUP("industry|PM25|Minor restricted activity days", US_national_yearly!$D:$AM, 24, FALSE) / VLOOKUP("industry|PM25|Minor restricted activity days", US_national_yearly!$D:$AM, 10, FALSE), 1)</f>
        <v>17.54540547174566</v>
      </c>
      <c r="Q14" s="7">
        <f>$B14 * IFERROR(VLOOKUP("industry|PM25|Minor restricted activity days", US_national_yearly!$D:$AM, 25, FALSE) / VLOOKUP("industry|PM25|Minor restricted activity days", US_national_yearly!$D:$AM, 10, FALSE), 1)</f>
        <v>17.681880124632244</v>
      </c>
      <c r="R14" s="7">
        <f>$B14 * IFERROR(VLOOKUP("industry|PM25|Minor restricted activity days", US_national_yearly!$D:$AM, 26, FALSE) / VLOOKUP("industry|PM25|Minor restricted activity days", US_national_yearly!$D:$AM, 10, FALSE), 1)</f>
        <v>17.818354777518813</v>
      </c>
      <c r="S14" s="7">
        <f>$B14 * IFERROR(VLOOKUP("industry|PM25|Minor restricted activity days", US_national_yearly!$D:$AM, 27, FALSE) / VLOOKUP("industry|PM25|Minor restricted activity days", US_national_yearly!$D:$AM, 10, FALSE), 1)</f>
        <v>17.956139640447919</v>
      </c>
      <c r="T14" s="7">
        <f>$B14 * IFERROR(VLOOKUP("industry|PM25|Minor restricted activity days", US_national_yearly!$D:$AM, 28, FALSE) / VLOOKUP("industry|PM25|Minor restricted activity days", US_national_yearly!$D:$AM, 10, FALSE), 1)</f>
        <v>18.093924503377032</v>
      </c>
      <c r="U14" s="7">
        <f>$B14 * IFERROR(VLOOKUP("industry|PM25|Minor restricted activity days", US_national_yearly!$D:$AM, 29, FALSE) / VLOOKUP("industry|PM25|Minor restricted activity days", US_national_yearly!$D:$AM, 10, FALSE), 1)</f>
        <v>18.231709366306141</v>
      </c>
      <c r="V14" s="7">
        <f>$B14 * IFERROR(VLOOKUP("industry|PM25|Minor restricted activity days", US_national_yearly!$D:$AM, 30, FALSE) / VLOOKUP("industry|PM25|Minor restricted activity days", US_national_yearly!$D:$AM, 10, FALSE), 1)</f>
        <v>18.369494229235251</v>
      </c>
      <c r="W14" s="7">
        <f>$B14 * IFERROR(VLOOKUP("industry|PM25|Minor restricted activity days", US_national_yearly!$D:$AM, 31, FALSE) / VLOOKUP("industry|PM25|Minor restricted activity days", US_national_yearly!$D:$AM, 10, FALSE), 1)</f>
        <v>18.507279092164364</v>
      </c>
      <c r="X14" s="7">
        <f>$B14 * IFERROR(VLOOKUP("industry|PM25|Minor restricted activity days", US_national_yearly!$D:$AM, 32, FALSE) / VLOOKUP("industry|PM25|Minor restricted activity days", US_national_yearly!$D:$AM, 10, FALSE), 1)</f>
        <v>18.627009091957589</v>
      </c>
      <c r="Y14" s="7">
        <f>$B14 * IFERROR(VLOOKUP("industry|PM25|Minor restricted activity days", US_national_yearly!$D:$AM, 33, FALSE) / VLOOKUP("industry|PM25|Minor restricted activity days", US_national_yearly!$D:$AM, 10, FALSE), 1)</f>
        <v>18.746739091750815</v>
      </c>
      <c r="Z14" s="7">
        <f>$B14 * IFERROR(VLOOKUP("industry|PM25|Minor restricted activity days", US_national_yearly!$D:$AM, 34, FALSE) / VLOOKUP("industry|PM25|Minor restricted activity days", US_national_yearly!$D:$AM, 10, FALSE), 1)</f>
        <v>18.866469091544044</v>
      </c>
      <c r="AA14" s="7">
        <f>$B14 * IFERROR(VLOOKUP("industry|PM25|Minor restricted activity days", US_national_yearly!$D:$AM, 35, FALSE) / VLOOKUP("industry|PM25|Minor restricted activity days", US_national_yearly!$D:$AM, 10, FALSE), 1)</f>
        <v>18.986199091337269</v>
      </c>
      <c r="AB14" s="7">
        <f>$B14 * IFERROR(VLOOKUP("industry|PM25|Minor restricted activity days", US_national_yearly!$D:$AM, 36, FALSE) / VLOOKUP("industry|PM25|Minor restricted activity days", US_national_yearly!$D:$AM, 10, FALSE), 1)</f>
        <v>19.105929091130495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2.7667240095106878</v>
      </c>
      <c r="C15" s="7">
        <f>$B15 * IFERROR(VLOOKUP("industry|PM25|Work loss days", US_national_yearly!$D:$AM, 11, FALSE) / VLOOKUP("industry|PM25|Work loss days", US_national_yearly!$D:$AM, 10, FALSE), 1)</f>
        <v>2.7753019647785209</v>
      </c>
      <c r="D15" s="7">
        <f>$B15 * IFERROR(VLOOKUP("industry|PM25|Work loss days", US_national_yearly!$D:$AM, 12, FALSE) / VLOOKUP("industry|PM25|Work loss days", US_national_yearly!$D:$AM, 10, FALSE), 1)</f>
        <v>2.783879920046354</v>
      </c>
      <c r="E15" s="7">
        <f>$B15 * IFERROR(VLOOKUP("industry|PM25|Work loss days", US_national_yearly!$D:$AM, 13, FALSE) / VLOOKUP("industry|PM25|Work loss days", US_national_yearly!$D:$AM, 10, FALSE), 1)</f>
        <v>2.7924578753141867</v>
      </c>
      <c r="F15" s="7">
        <f>$B15 * IFERROR(VLOOKUP("industry|PM25|Work loss days", US_national_yearly!$D:$AM, 14, FALSE) / VLOOKUP("industry|PM25|Work loss days", US_national_yearly!$D:$AM, 10, FALSE), 1)</f>
        <v>2.8010358305820198</v>
      </c>
      <c r="G15" s="7">
        <f>$B15 * IFERROR(VLOOKUP("industry|PM25|Work loss days", US_national_yearly!$D:$AM, 15, FALSE) / VLOOKUP("industry|PM25|Work loss days", US_national_yearly!$D:$AM, 10, FALSE), 1)</f>
        <v>2.8122347267685903</v>
      </c>
      <c r="H15" s="7">
        <f>$B15 * IFERROR(VLOOKUP("industry|PM25|Work loss days", US_national_yearly!$D:$AM, 16, FALSE) / VLOOKUP("industry|PM25|Work loss days", US_national_yearly!$D:$AM, 10, FALSE), 1)</f>
        <v>2.8234336229551609</v>
      </c>
      <c r="I15" s="7">
        <f>$B15 * IFERROR(VLOOKUP("industry|PM25|Work loss days", US_national_yearly!$D:$AM, 17, FALSE) / VLOOKUP("industry|PM25|Work loss days", US_national_yearly!$D:$AM, 10, FALSE), 1)</f>
        <v>2.8398323711757496</v>
      </c>
      <c r="J15" s="7">
        <f>$B15 * IFERROR(VLOOKUP("industry|PM25|Work loss days", US_national_yearly!$D:$AM, 18, FALSE) / VLOOKUP("industry|PM25|Work loss days", US_national_yearly!$D:$AM, 10, FALSE), 1)</f>
        <v>2.8562311193963379</v>
      </c>
      <c r="K15" s="7">
        <f>$B15 * IFERROR(VLOOKUP("industry|PM25|Work loss days", US_national_yearly!$D:$AM, 19, FALSE) / VLOOKUP("industry|PM25|Work loss days", US_national_yearly!$D:$AM, 10, FALSE), 1)</f>
        <v>2.8726298676169262</v>
      </c>
      <c r="L15" s="7">
        <f>$B15 * IFERROR(VLOOKUP("industry|PM25|Work loss days", US_national_yearly!$D:$AM, 20, FALSE) / VLOOKUP("industry|PM25|Work loss days", US_national_yearly!$D:$AM, 10, FALSE), 1)</f>
        <v>2.8890286158375145</v>
      </c>
      <c r="M15" s="7">
        <f>$B15 * IFERROR(VLOOKUP("industry|PM25|Work loss days", US_national_yearly!$D:$AM, 21, FALSE) / VLOOKUP("industry|PM25|Work loss days", US_national_yearly!$D:$AM, 10, FALSE), 1)</f>
        <v>2.9054273640581032</v>
      </c>
      <c r="N15" s="7">
        <f>$B15 * IFERROR(VLOOKUP("industry|PM25|Work loss days", US_national_yearly!$D:$AM, 22, FALSE) / VLOOKUP("industry|PM25|Work loss days", US_national_yearly!$D:$AM, 10, FALSE), 1)</f>
        <v>2.9261204318474596</v>
      </c>
      <c r="O15" s="7">
        <f>$B15 * IFERROR(VLOOKUP("industry|PM25|Work loss days", US_national_yearly!$D:$AM, 23, FALSE) / VLOOKUP("industry|PM25|Work loss days", US_national_yearly!$D:$AM, 10, FALSE), 1)</f>
        <v>2.946813499636816</v>
      </c>
      <c r="P15" s="7">
        <f>$B15 * IFERROR(VLOOKUP("industry|PM25|Work loss days", US_national_yearly!$D:$AM, 24, FALSE) / VLOOKUP("industry|PM25|Work loss days", US_national_yearly!$D:$AM, 10, FALSE), 1)</f>
        <v>2.967506567426172</v>
      </c>
      <c r="Q15" s="7">
        <f>$B15 * IFERROR(VLOOKUP("industry|PM25|Work loss days", US_national_yearly!$D:$AM, 25, FALSE) / VLOOKUP("industry|PM25|Work loss days", US_national_yearly!$D:$AM, 10, FALSE), 1)</f>
        <v>2.9881996352155284</v>
      </c>
      <c r="R15" s="7">
        <f>$B15 * IFERROR(VLOOKUP("industry|PM25|Work loss days", US_national_yearly!$D:$AM, 26, FALSE) / VLOOKUP("industry|PM25|Work loss days", US_national_yearly!$D:$AM, 10, FALSE), 1)</f>
        <v>3.0088927030048844</v>
      </c>
      <c r="S15" s="7">
        <f>$B15 * IFERROR(VLOOKUP("industry|PM25|Work loss days", US_national_yearly!$D:$AM, 27, FALSE) / VLOOKUP("industry|PM25|Work loss days", US_national_yearly!$D:$AM, 10, FALSE), 1)</f>
        <v>3.0318383815586074</v>
      </c>
      <c r="T15" s="7">
        <f>$B15 * IFERROR(VLOOKUP("industry|PM25|Work loss days", US_national_yearly!$D:$AM, 28, FALSE) / VLOOKUP("industry|PM25|Work loss days", US_national_yearly!$D:$AM, 10, FALSE), 1)</f>
        <v>3.0547840601123304</v>
      </c>
      <c r="U15" s="7">
        <f>$B15 * IFERROR(VLOOKUP("industry|PM25|Work loss days", US_national_yearly!$D:$AM, 29, FALSE) / VLOOKUP("industry|PM25|Work loss days", US_national_yearly!$D:$AM, 10, FALSE), 1)</f>
        <v>3.0777297386660529</v>
      </c>
      <c r="V15" s="7">
        <f>$B15 * IFERROR(VLOOKUP("industry|PM25|Work loss days", US_national_yearly!$D:$AM, 30, FALSE) / VLOOKUP("industry|PM25|Work loss days", US_national_yearly!$D:$AM, 10, FALSE), 1)</f>
        <v>3.1006754172197755</v>
      </c>
      <c r="W15" s="7">
        <f>$B15 * IFERROR(VLOOKUP("industry|PM25|Work loss days", US_national_yearly!$D:$AM, 31, FALSE) / VLOOKUP("industry|PM25|Work loss days", US_national_yearly!$D:$AM, 10, FALSE), 1)</f>
        <v>3.1236210957734989</v>
      </c>
      <c r="X15" s="7">
        <f>$B15 * IFERROR(VLOOKUP("industry|PM25|Work loss days", US_national_yearly!$D:$AM, 32, FALSE) / VLOOKUP("industry|PM25|Work loss days", US_national_yearly!$D:$AM, 10, FALSE), 1)</f>
        <v>3.1440113482966403</v>
      </c>
      <c r="Y15" s="7">
        <f>$B15 * IFERROR(VLOOKUP("industry|PM25|Work loss days", US_national_yearly!$D:$AM, 33, FALSE) / VLOOKUP("industry|PM25|Work loss days", US_national_yearly!$D:$AM, 10, FALSE), 1)</f>
        <v>3.1644016008197826</v>
      </c>
      <c r="Z15" s="7">
        <f>$B15 * IFERROR(VLOOKUP("industry|PM25|Work loss days", US_national_yearly!$D:$AM, 34, FALSE) / VLOOKUP("industry|PM25|Work loss days", US_national_yearly!$D:$AM, 10, FALSE), 1)</f>
        <v>3.1847918533429249</v>
      </c>
      <c r="AA15" s="7">
        <f>$B15 * IFERROR(VLOOKUP("industry|PM25|Work loss days", US_national_yearly!$D:$AM, 35, FALSE) / VLOOKUP("industry|PM25|Work loss days", US_national_yearly!$D:$AM, 10, FALSE), 1)</f>
        <v>3.2051821058660668</v>
      </c>
      <c r="AB15" s="7">
        <f>$B15 * IFERROR(VLOOKUP("industry|PM25|Work loss days", US_national_yearly!$D:$AM, 36, FALSE) / VLOOKUP("industry|PM25|Work loss days", US_national_yearly!$D:$AM, 10, FALSE), 1)</f>
        <v>3.2255723583892091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7.7209029252153531E-3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7.9518400817377606E-3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8.182777238260169E-3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8.4137143947825774E-3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8.644651551304984E-3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8.8659881701784772E-3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9.0873247890519704E-3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9.2773616730529116E-3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9.4673985570538528E-3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9.6574354410547958E-3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9.8474723250557387E-3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1.003750920905668E-2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1.0164454564036453E-2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1.029139991901622E-2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1.041834527399599E-2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1.0545290628975759E-2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1.0672235983955529E-2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1.0740250226660215E-2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1.0808264469364901E-2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1.0876278712069589E-2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1.0944292954774275E-2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1.1012307197478961E-2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1.1059012207663485E-2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1.1105717217848006E-2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1.1152422228032529E-2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1.119912723821705E-2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1.1245832248401573E-2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4.4523077260162133E-3</v>
      </c>
      <c r="C2" s="7">
        <f>$B2 * IFERROR(VLOOKUP("industry|NOx|Premature mortality", US_national_yearly!$D:$AM, 11, FALSE) / VLOOKUP("industry|NOx|Premature mortality", US_national_yearly!$D:$AM, 10, FALSE), 1)</f>
        <v>4.5181428317258654E-3</v>
      </c>
      <c r="D2" s="7">
        <f>$B2 * IFERROR(VLOOKUP("industry|NOx|Premature mortality", US_national_yearly!$D:$AM, 12, FALSE) / VLOOKUP("industry|NOx|Premature mortality", US_national_yearly!$D:$AM, 10, FALSE), 1)</f>
        <v>4.5839779374355193E-3</v>
      </c>
      <c r="E2" s="7">
        <f>$B2 * IFERROR(VLOOKUP("industry|NOx|Premature mortality", US_national_yearly!$D:$AM, 13, FALSE) / VLOOKUP("industry|NOx|Premature mortality", US_national_yearly!$D:$AM, 10, FALSE), 1)</f>
        <v>4.6498130431451715E-3</v>
      </c>
      <c r="F2" s="7">
        <f>$B2 * IFERROR(VLOOKUP("industry|NOx|Premature mortality", US_national_yearly!$D:$AM, 14, FALSE) / VLOOKUP("industry|NOx|Premature mortality", US_national_yearly!$D:$AM, 10, FALSE), 1)</f>
        <v>4.7156481488548245E-3</v>
      </c>
      <c r="G2" s="7">
        <f>$B2 * IFERROR(VLOOKUP("industry|NOx|Premature mortality", US_national_yearly!$D:$AM, 15, FALSE) / VLOOKUP("industry|NOx|Premature mortality", US_national_yearly!$D:$AM, 10, FALSE), 1)</f>
        <v>4.8337151474866094E-3</v>
      </c>
      <c r="H2" s="7">
        <f>$B2 * IFERROR(VLOOKUP("industry|NOx|Premature mortality", US_national_yearly!$D:$AM, 16, FALSE) / VLOOKUP("industry|NOx|Premature mortality", US_national_yearly!$D:$AM, 10, FALSE), 1)</f>
        <v>4.9517821461183935E-3</v>
      </c>
      <c r="I2" s="7">
        <f>$B2 * IFERROR(VLOOKUP("industry|NOx|Premature mortality", US_national_yearly!$D:$AM, 17, FALSE) / VLOOKUP("industry|NOx|Premature mortality", US_national_yearly!$D:$AM, 10, FALSE), 1)</f>
        <v>5.0283761809056162E-3</v>
      </c>
      <c r="J2" s="7">
        <f>$B2 * IFERROR(VLOOKUP("industry|NOx|Premature mortality", US_national_yearly!$D:$AM, 18, FALSE) / VLOOKUP("industry|NOx|Premature mortality", US_national_yearly!$D:$AM, 10, FALSE), 1)</f>
        <v>5.1049702156928381E-3</v>
      </c>
      <c r="K2" s="7">
        <f>$B2 * IFERROR(VLOOKUP("industry|NOx|Premature mortality", US_national_yearly!$D:$AM, 19, FALSE) / VLOOKUP("industry|NOx|Premature mortality", US_national_yearly!$D:$AM, 10, FALSE), 1)</f>
        <v>5.1815642504800608E-3</v>
      </c>
      <c r="L2" s="7">
        <f>$B2 * IFERROR(VLOOKUP("industry|NOx|Premature mortality", US_national_yearly!$D:$AM, 20, FALSE) / VLOOKUP("industry|NOx|Premature mortality", US_national_yearly!$D:$AM, 10, FALSE), 1)</f>
        <v>5.2581582852672826E-3</v>
      </c>
      <c r="M2" s="7">
        <f>$B2 * IFERROR(VLOOKUP("industry|NOx|Premature mortality", US_national_yearly!$D:$AM, 21, FALSE) / VLOOKUP("industry|NOx|Premature mortality", US_national_yearly!$D:$AM, 10, FALSE), 1)</f>
        <v>5.3347523200545054E-3</v>
      </c>
      <c r="N2" s="7">
        <f>$B2 * IFERROR(VLOOKUP("industry|NOx|Premature mortality", US_national_yearly!$D:$AM, 22, FALSE) / VLOOKUP("industry|NOx|Premature mortality", US_national_yearly!$D:$AM, 10, FALSE), 1)</f>
        <v>5.3917482767260336E-3</v>
      </c>
      <c r="O2" s="7">
        <f>$B2 * IFERROR(VLOOKUP("industry|NOx|Premature mortality", US_national_yearly!$D:$AM, 23, FALSE) / VLOOKUP("industry|NOx|Premature mortality", US_national_yearly!$D:$AM, 10, FALSE), 1)</f>
        <v>5.4487442333975601E-3</v>
      </c>
      <c r="P2" s="7">
        <f>$B2 * IFERROR(VLOOKUP("industry|NOx|Premature mortality", US_national_yearly!$D:$AM, 24, FALSE) / VLOOKUP("industry|NOx|Premature mortality", US_national_yearly!$D:$AM, 10, FALSE), 1)</f>
        <v>5.5057401900690866E-3</v>
      </c>
      <c r="Q2" s="7">
        <f>$B2 * IFERROR(VLOOKUP("industry|NOx|Premature mortality", US_national_yearly!$D:$AM, 25, FALSE) / VLOOKUP("industry|NOx|Premature mortality", US_national_yearly!$D:$AM, 10, FALSE), 1)</f>
        <v>5.562736146740614E-3</v>
      </c>
      <c r="R2" s="7">
        <f>$B2 * IFERROR(VLOOKUP("industry|NOx|Premature mortality", US_national_yearly!$D:$AM, 26, FALSE) / VLOOKUP("industry|NOx|Premature mortality", US_national_yearly!$D:$AM, 10, FALSE), 1)</f>
        <v>5.6197321034121405E-3</v>
      </c>
      <c r="S2" s="7">
        <f>$B2 * IFERROR(VLOOKUP("industry|NOx|Premature mortality", US_national_yearly!$D:$AM, 27, FALSE) / VLOOKUP("industry|NOx|Premature mortality", US_national_yearly!$D:$AM, 10, FALSE), 1)</f>
        <v>5.6462728619386749E-3</v>
      </c>
      <c r="T2" s="7">
        <f>$B2 * IFERROR(VLOOKUP("industry|NOx|Premature mortality", US_national_yearly!$D:$AM, 28, FALSE) / VLOOKUP("industry|NOx|Premature mortality", US_national_yearly!$D:$AM, 10, FALSE), 1)</f>
        <v>5.6728136204652092E-3</v>
      </c>
      <c r="U2" s="7">
        <f>$B2 * IFERROR(VLOOKUP("industry|NOx|Premature mortality", US_national_yearly!$D:$AM, 29, FALSE) / VLOOKUP("industry|NOx|Premature mortality", US_national_yearly!$D:$AM, 10, FALSE), 1)</f>
        <v>5.6993543789917436E-3</v>
      </c>
      <c r="V2" s="7">
        <f>$B2 * IFERROR(VLOOKUP("industry|NOx|Premature mortality", US_national_yearly!$D:$AM, 30, FALSE) / VLOOKUP("industry|NOx|Premature mortality", US_national_yearly!$D:$AM, 10, FALSE), 1)</f>
        <v>5.725895137518278E-3</v>
      </c>
      <c r="W2" s="7">
        <f>$B2 * IFERROR(VLOOKUP("industry|NOx|Premature mortality", US_national_yearly!$D:$AM, 31, FALSE) / VLOOKUP("industry|NOx|Premature mortality", US_national_yearly!$D:$AM, 10, FALSE), 1)</f>
        <v>5.7524358960448115E-3</v>
      </c>
      <c r="X2" s="7">
        <f>$B2 * IFERROR(VLOOKUP("industry|NOx|Premature mortality", US_national_yearly!$D:$AM, 32, FALSE) / VLOOKUP("industry|NOx|Premature mortality", US_national_yearly!$D:$AM, 10, FALSE), 1)</f>
        <v>5.7544642256934326E-3</v>
      </c>
      <c r="Y2" s="7">
        <f>$B2 * IFERROR(VLOOKUP("industry|NOx|Premature mortality", US_national_yearly!$D:$AM, 33, FALSE) / VLOOKUP("industry|NOx|Premature mortality", US_national_yearly!$D:$AM, 10, FALSE), 1)</f>
        <v>5.7564925553420547E-3</v>
      </c>
      <c r="Z2" s="7">
        <f>$B2 * IFERROR(VLOOKUP("industry|NOx|Premature mortality", US_national_yearly!$D:$AM, 34, FALSE) / VLOOKUP("industry|NOx|Premature mortality", US_national_yearly!$D:$AM, 10, FALSE), 1)</f>
        <v>5.7585208849906758E-3</v>
      </c>
      <c r="AA2" s="7">
        <f>$B2 * IFERROR(VLOOKUP("industry|NOx|Premature mortality", US_national_yearly!$D:$AM, 35, FALSE) / VLOOKUP("industry|NOx|Premature mortality", US_national_yearly!$D:$AM, 10, FALSE), 1)</f>
        <v>5.760549214639297E-3</v>
      </c>
      <c r="AB2" s="7">
        <f>$B2 * IFERROR(VLOOKUP("industry|NOx|Premature mortality", US_national_yearly!$D:$AM, 36, FALSE) / VLOOKUP("industry|NOx|Premature mortality", US_national_yearly!$D:$AM, 10, FALSE), 1)</f>
        <v>5.7625775442879191E-3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9.5468654788550158E-6</v>
      </c>
      <c r="C3" s="7">
        <f>$B3 * IFERROR(VLOOKUP("industry|NOx|Infant mortality", US_national_yearly!$D:$AM, 11, FALSE) / VLOOKUP("industry|NOx|Infant mortality", US_national_yearly!$D:$AM, 10, FALSE), 1)</f>
        <v>9.455436748048297E-6</v>
      </c>
      <c r="D3" s="7">
        <f>$B3 * IFERROR(VLOOKUP("industry|NOx|Infant mortality", US_national_yearly!$D:$AM, 12, FALSE) / VLOOKUP("industry|NOx|Infant mortality", US_national_yearly!$D:$AM, 10, FALSE), 1)</f>
        <v>9.3640080172415783E-6</v>
      </c>
      <c r="E3" s="7">
        <f>$B3 * IFERROR(VLOOKUP("industry|NOx|Infant mortality", US_national_yearly!$D:$AM, 13, FALSE) / VLOOKUP("industry|NOx|Infant mortality", US_national_yearly!$D:$AM, 10, FALSE), 1)</f>
        <v>9.2725792864348612E-6</v>
      </c>
      <c r="F3" s="7">
        <f>$B3 * IFERROR(VLOOKUP("industry|NOx|Infant mortality", US_national_yearly!$D:$AM, 14, FALSE) / VLOOKUP("industry|NOx|Infant mortality", US_national_yearly!$D:$AM, 10, FALSE), 1)</f>
        <v>9.1811505556281425E-6</v>
      </c>
      <c r="G3" s="7">
        <f>$B3 * IFERROR(VLOOKUP("industry|NOx|Infant mortality", US_national_yearly!$D:$AM, 15, FALSE) / VLOOKUP("industry|NOx|Infant mortality", US_national_yearly!$D:$AM, 10, FALSE), 1)</f>
        <v>6.0897491527893719E-6</v>
      </c>
      <c r="H3" s="7">
        <f>$B3 * IFERROR(VLOOKUP("industry|NOx|Infant mortality", US_national_yearly!$D:$AM, 16, FALSE) / VLOOKUP("industry|NOx|Infant mortality", US_national_yearly!$D:$AM, 10, FALSE), 1)</f>
        <v>2.9983477499506031E-6</v>
      </c>
      <c r="I3" s="7">
        <f>$B3 * IFERROR(VLOOKUP("industry|NOx|Infant mortality", US_national_yearly!$D:$AM, 17, FALSE) / VLOOKUP("industry|NOx|Infant mortality", US_national_yearly!$D:$AM, 10, FALSE), 1)</f>
        <v>2.9767309572492032E-6</v>
      </c>
      <c r="J3" s="7">
        <f>$B3 * IFERROR(VLOOKUP("industry|NOx|Infant mortality", US_national_yearly!$D:$AM, 18, FALSE) / VLOOKUP("industry|NOx|Infant mortality", US_national_yearly!$D:$AM, 10, FALSE), 1)</f>
        <v>2.9551141645478042E-6</v>
      </c>
      <c r="K3" s="7">
        <f>$B3 * IFERROR(VLOOKUP("industry|NOx|Infant mortality", US_national_yearly!$D:$AM, 19, FALSE) / VLOOKUP("industry|NOx|Infant mortality", US_national_yearly!$D:$AM, 10, FALSE), 1)</f>
        <v>2.9334973718464043E-6</v>
      </c>
      <c r="L3" s="7">
        <f>$B3 * IFERROR(VLOOKUP("industry|NOx|Infant mortality", US_national_yearly!$D:$AM, 20, FALSE) / VLOOKUP("industry|NOx|Infant mortality", US_national_yearly!$D:$AM, 10, FALSE), 1)</f>
        <v>2.9118805791450036E-6</v>
      </c>
      <c r="M3" s="7">
        <f>$B3 * IFERROR(VLOOKUP("industry|NOx|Infant mortality", US_national_yearly!$D:$AM, 21, FALSE) / VLOOKUP("industry|NOx|Infant mortality", US_national_yearly!$D:$AM, 10, FALSE), 1)</f>
        <v>2.8902637864436037E-6</v>
      </c>
      <c r="N3" s="7">
        <f>$B3 * IFERROR(VLOOKUP("industry|NOx|Infant mortality", US_national_yearly!$D:$AM, 22, FALSE) / VLOOKUP("industry|NOx|Infant mortality", US_national_yearly!$D:$AM, 10, FALSE), 1)</f>
        <v>2.8756993665892392E-6</v>
      </c>
      <c r="O3" s="7">
        <f>$B3 * IFERROR(VLOOKUP("industry|NOx|Infant mortality", US_national_yearly!$D:$AM, 23, FALSE) / VLOOKUP("industry|NOx|Infant mortality", US_national_yearly!$D:$AM, 10, FALSE), 1)</f>
        <v>2.8611349467348743E-6</v>
      </c>
      <c r="P3" s="7">
        <f>$B3 * IFERROR(VLOOKUP("industry|NOx|Infant mortality", US_national_yearly!$D:$AM, 24, FALSE) / VLOOKUP("industry|NOx|Infant mortality", US_national_yearly!$D:$AM, 10, FALSE), 1)</f>
        <v>2.8465705268805098E-6</v>
      </c>
      <c r="Q3" s="7">
        <f>$B3 * IFERROR(VLOOKUP("industry|NOx|Infant mortality", US_national_yearly!$D:$AM, 25, FALSE) / VLOOKUP("industry|NOx|Infant mortality", US_national_yearly!$D:$AM, 10, FALSE), 1)</f>
        <v>2.8320061070261453E-6</v>
      </c>
      <c r="R3" s="7">
        <f>$B3 * IFERROR(VLOOKUP("industry|NOx|Infant mortality", US_national_yearly!$D:$AM, 26, FALSE) / VLOOKUP("industry|NOx|Infant mortality", US_national_yearly!$D:$AM, 10, FALSE), 1)</f>
        <v>2.8174416871717809E-6</v>
      </c>
      <c r="S3" s="7">
        <f>$B3 * IFERROR(VLOOKUP("industry|NOx|Infant mortality", US_national_yearly!$D:$AM, 27, FALSE) / VLOOKUP("industry|NOx|Infant mortality", US_national_yearly!$D:$AM, 10, FALSE), 1)</f>
        <v>2.8001466989785224E-6</v>
      </c>
      <c r="T3" s="7">
        <f>$B3 * IFERROR(VLOOKUP("industry|NOx|Infant mortality", US_national_yearly!$D:$AM, 28, FALSE) / VLOOKUP("industry|NOx|Infant mortality", US_national_yearly!$D:$AM, 10, FALSE), 1)</f>
        <v>2.7828517107852635E-6</v>
      </c>
      <c r="U3" s="7">
        <f>$B3 * IFERROR(VLOOKUP("industry|NOx|Infant mortality", US_national_yearly!$D:$AM, 29, FALSE) / VLOOKUP("industry|NOx|Infant mortality", US_national_yearly!$D:$AM, 10, FALSE), 1)</f>
        <v>2.7655567225920051E-6</v>
      </c>
      <c r="V3" s="7">
        <f>$B3 * IFERROR(VLOOKUP("industry|NOx|Infant mortality", US_national_yearly!$D:$AM, 30, FALSE) / VLOOKUP("industry|NOx|Infant mortality", US_national_yearly!$D:$AM, 10, FALSE), 1)</f>
        <v>2.7482617343987466E-6</v>
      </c>
      <c r="W3" s="7">
        <f>$B3 * IFERROR(VLOOKUP("industry|NOx|Infant mortality", US_national_yearly!$D:$AM, 31, FALSE) / VLOOKUP("industry|NOx|Infant mortality", US_national_yearly!$D:$AM, 10, FALSE), 1)</f>
        <v>2.7309667462054886E-6</v>
      </c>
      <c r="X3" s="7">
        <f>$B3 * IFERROR(VLOOKUP("industry|NOx|Infant mortality", US_national_yearly!$D:$AM, 32, FALSE) / VLOOKUP("industry|NOx|Infant mortality", US_national_yearly!$D:$AM, 10, FALSE), 1)</f>
        <v>2.7128050935618804E-6</v>
      </c>
      <c r="Y3" s="7">
        <f>$B3 * IFERROR(VLOOKUP("industry|NOx|Infant mortality", US_national_yearly!$D:$AM, 33, FALSE) / VLOOKUP("industry|NOx|Infant mortality", US_national_yearly!$D:$AM, 10, FALSE), 1)</f>
        <v>2.6946434409182727E-6</v>
      </c>
      <c r="Z3" s="7">
        <f>$B3 * IFERROR(VLOOKUP("industry|NOx|Infant mortality", US_national_yearly!$D:$AM, 34, FALSE) / VLOOKUP("industry|NOx|Infant mortality", US_national_yearly!$D:$AM, 10, FALSE), 1)</f>
        <v>2.676481788274665E-6</v>
      </c>
      <c r="AA3" s="7">
        <f>$B3 * IFERROR(VLOOKUP("industry|NOx|Infant mortality", US_national_yearly!$D:$AM, 35, FALSE) / VLOOKUP("industry|NOx|Infant mortality", US_national_yearly!$D:$AM, 10, FALSE), 1)</f>
        <v>2.6583201356310572E-6</v>
      </c>
      <c r="AB3" s="7">
        <f>$B3 * IFERROR(VLOOKUP("industry|NOx|Infant mortality", US_national_yearly!$D:$AM, 36, FALSE) / VLOOKUP("industry|NOx|Infant mortality", US_national_yearly!$D:$AM, 10, FALSE), 1)</f>
        <v>2.6401584829874491E-6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9.1993432969689655E-3</v>
      </c>
      <c r="C6" s="7">
        <f>$B6 * IFERROR(VLOOKUP("industry|NOx|Asthma symptoms cough", US_national_yearly!$D:$AM, 11, FALSE) / VLOOKUP("industry|NOx|Asthma symptoms cough", US_national_yearly!$D:$AM, 10, FALSE), 1)</f>
        <v>9.3251934347745903E-3</v>
      </c>
      <c r="D6" s="7">
        <f>$B6 * IFERROR(VLOOKUP("industry|NOx|Asthma symptoms cough", US_national_yearly!$D:$AM, 12, FALSE) / VLOOKUP("industry|NOx|Asthma symptoms cough", US_national_yearly!$D:$AM, 10, FALSE), 1)</f>
        <v>9.4510435725802169E-3</v>
      </c>
      <c r="E6" s="7">
        <f>$B6 * IFERROR(VLOOKUP("industry|NOx|Asthma symptoms cough", US_national_yearly!$D:$AM, 13, FALSE) / VLOOKUP("industry|NOx|Asthma symptoms cough", US_national_yearly!$D:$AM, 10, FALSE), 1)</f>
        <v>9.5768937103858417E-3</v>
      </c>
      <c r="F6" s="7">
        <f>$B6 * IFERROR(VLOOKUP("industry|NOx|Asthma symptoms cough", US_national_yearly!$D:$AM, 14, FALSE) / VLOOKUP("industry|NOx|Asthma symptoms cough", US_national_yearly!$D:$AM, 10, FALSE), 1)</f>
        <v>9.7027438481914682E-3</v>
      </c>
      <c r="G6" s="7">
        <f>$B6 * IFERROR(VLOOKUP("industry|NOx|Asthma symptoms cough", US_national_yearly!$D:$AM, 15, FALSE) / VLOOKUP("industry|NOx|Asthma symptoms cough", US_national_yearly!$D:$AM, 10, FALSE), 1)</f>
        <v>9.803656134642293E-3</v>
      </c>
      <c r="H6" s="7">
        <f>$B6 * IFERROR(VLOOKUP("industry|NOx|Asthma symptoms cough", US_national_yearly!$D:$AM, 16, FALSE) / VLOOKUP("industry|NOx|Asthma symptoms cough", US_national_yearly!$D:$AM, 10, FALSE), 1)</f>
        <v>9.9045684210931212E-3</v>
      </c>
      <c r="I6" s="7">
        <f>$B6 * IFERROR(VLOOKUP("industry|NOx|Asthma symptoms cough", US_national_yearly!$D:$AM, 17, FALSE) / VLOOKUP("industry|NOx|Asthma symptoms cough", US_national_yearly!$D:$AM, 10, FALSE), 1)</f>
        <v>9.9396867913721775E-3</v>
      </c>
      <c r="J6" s="7">
        <f>$B6 * IFERROR(VLOOKUP("industry|NOx|Asthma symptoms cough", US_national_yearly!$D:$AM, 18, FALSE) / VLOOKUP("industry|NOx|Asthma symptoms cough", US_national_yearly!$D:$AM, 10, FALSE), 1)</f>
        <v>9.9748051616512356E-3</v>
      </c>
      <c r="K6" s="7">
        <f>$B6 * IFERROR(VLOOKUP("industry|NOx|Asthma symptoms cough", US_national_yearly!$D:$AM, 19, FALSE) / VLOOKUP("industry|NOx|Asthma symptoms cough", US_national_yearly!$D:$AM, 10, FALSE), 1)</f>
        <v>1.0009923531930292E-2</v>
      </c>
      <c r="L6" s="7">
        <f>$B6 * IFERROR(VLOOKUP("industry|NOx|Asthma symptoms cough", US_national_yearly!$D:$AM, 20, FALSE) / VLOOKUP("industry|NOx|Asthma symptoms cough", US_national_yearly!$D:$AM, 10, FALSE), 1)</f>
        <v>1.0045041902209352E-2</v>
      </c>
      <c r="M6" s="7">
        <f>$B6 * IFERROR(VLOOKUP("industry|NOx|Asthma symptoms cough", US_national_yearly!$D:$AM, 21, FALSE) / VLOOKUP("industry|NOx|Asthma symptoms cough", US_national_yearly!$D:$AM, 10, FALSE), 1)</f>
        <v>1.008016027248841E-2</v>
      </c>
      <c r="N6" s="7">
        <f>$B6 * IFERROR(VLOOKUP("industry|NOx|Asthma symptoms cough", US_national_yearly!$D:$AM, 22, FALSE) / VLOOKUP("industry|NOx|Asthma symptoms cough", US_national_yearly!$D:$AM, 10, FALSE), 1)</f>
        <v>1.0120248850846853E-2</v>
      </c>
      <c r="O6" s="7">
        <f>$B6 * IFERROR(VLOOKUP("industry|NOx|Asthma symptoms cough", US_national_yearly!$D:$AM, 23, FALSE) / VLOOKUP("industry|NOx|Asthma symptoms cough", US_national_yearly!$D:$AM, 10, FALSE), 1)</f>
        <v>1.0160337429205296E-2</v>
      </c>
      <c r="P6" s="7">
        <f>$B6 * IFERROR(VLOOKUP("industry|NOx|Asthma symptoms cough", US_national_yearly!$D:$AM, 24, FALSE) / VLOOKUP("industry|NOx|Asthma symptoms cough", US_national_yearly!$D:$AM, 10, FALSE), 1)</f>
        <v>1.020042600756374E-2</v>
      </c>
      <c r="Q6" s="7">
        <f>$B6 * IFERROR(VLOOKUP("industry|NOx|Asthma symptoms cough", US_national_yearly!$D:$AM, 25, FALSE) / VLOOKUP("industry|NOx|Asthma symptoms cough", US_national_yearly!$D:$AM, 10, FALSE), 1)</f>
        <v>1.0240514585922185E-2</v>
      </c>
      <c r="R6" s="7">
        <f>$B6 * IFERROR(VLOOKUP("industry|NOx|Asthma symptoms cough", US_national_yearly!$D:$AM, 26, FALSE) / VLOOKUP("industry|NOx|Asthma symptoms cough", US_national_yearly!$D:$AM, 10, FALSE), 1)</f>
        <v>1.028060316428063E-2</v>
      </c>
      <c r="S6" s="7">
        <f>$B6 * IFERROR(VLOOKUP("industry|NOx|Asthma symptoms cough", US_national_yearly!$D:$AM, 27, FALSE) / VLOOKUP("industry|NOx|Asthma symptoms cough", US_national_yearly!$D:$AM, 10, FALSE), 1)</f>
        <v>1.0332315656603402E-2</v>
      </c>
      <c r="T6" s="7">
        <f>$B6 * IFERROR(VLOOKUP("industry|NOx|Asthma symptoms cough", US_national_yearly!$D:$AM, 28, FALSE) / VLOOKUP("industry|NOx|Asthma symptoms cough", US_national_yearly!$D:$AM, 10, FALSE), 1)</f>
        <v>1.0384028148926175E-2</v>
      </c>
      <c r="U6" s="7">
        <f>$B6 * IFERROR(VLOOKUP("industry|NOx|Asthma symptoms cough", US_national_yearly!$D:$AM, 29, FALSE) / VLOOKUP("industry|NOx|Asthma symptoms cough", US_national_yearly!$D:$AM, 10, FALSE), 1)</f>
        <v>1.0435740641248949E-2</v>
      </c>
      <c r="V6" s="7">
        <f>$B6 * IFERROR(VLOOKUP("industry|NOx|Asthma symptoms cough", US_national_yearly!$D:$AM, 30, FALSE) / VLOOKUP("industry|NOx|Asthma symptoms cough", US_national_yearly!$D:$AM, 10, FALSE), 1)</f>
        <v>1.0487453133571719E-2</v>
      </c>
      <c r="W6" s="7">
        <f>$B6 * IFERROR(VLOOKUP("industry|NOx|Asthma symptoms cough", US_national_yearly!$D:$AM, 31, FALSE) / VLOOKUP("industry|NOx|Asthma symptoms cough", US_national_yearly!$D:$AM, 10, FALSE), 1)</f>
        <v>1.0539165625894494E-2</v>
      </c>
      <c r="X6" s="7">
        <f>$B6 * IFERROR(VLOOKUP("industry|NOx|Asthma symptoms cough", US_national_yearly!$D:$AM, 32, FALSE) / VLOOKUP("industry|NOx|Asthma symptoms cough", US_national_yearly!$D:$AM, 10, FALSE), 1)</f>
        <v>1.0587107082896872E-2</v>
      </c>
      <c r="Y6" s="7">
        <f>$B6 * IFERROR(VLOOKUP("industry|NOx|Asthma symptoms cough", US_national_yearly!$D:$AM, 33, FALSE) / VLOOKUP("industry|NOx|Asthma symptoms cough", US_national_yearly!$D:$AM, 10, FALSE), 1)</f>
        <v>1.0635048539899246E-2</v>
      </c>
      <c r="Z6" s="7">
        <f>$B6 * IFERROR(VLOOKUP("industry|NOx|Asthma symptoms cough", US_national_yearly!$D:$AM, 34, FALSE) / VLOOKUP("industry|NOx|Asthma symptoms cough", US_national_yearly!$D:$AM, 10, FALSE), 1)</f>
        <v>1.0682989996901622E-2</v>
      </c>
      <c r="AA6" s="7">
        <f>$B6 * IFERROR(VLOOKUP("industry|NOx|Asthma symptoms cough", US_national_yearly!$D:$AM, 35, FALSE) / VLOOKUP("industry|NOx|Asthma symptoms cough", US_national_yearly!$D:$AM, 10, FALSE), 1)</f>
        <v>1.0730931453903997E-2</v>
      </c>
      <c r="AB6" s="7">
        <f>$B6 * IFERROR(VLOOKUP("industry|NOx|Asthma symptoms cough", US_national_yearly!$D:$AM, 36, FALSE) / VLOOKUP("industry|NOx|Asthma symptoms cough", US_national_yearly!$D:$AM, 10, FALSE), 1)</f>
        <v>1.0778872910906375E-2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1.2387948382590819E-2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1.2557419719559709E-2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1.2726891056528598E-2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1.2896362393497488E-2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1.3065833730466379E-2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1.3201723451149968E-2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1.3337613171833561E-2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1.3384903998854883E-2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1.3432194825876206E-2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1.3479485652897527E-2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1.3526776479918854E-2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1.3574067306940177E-2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1.3628051077111751E-2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1.3682034847283328E-2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1.3736018617454906E-2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1.3790002387626484E-2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1.3843986157798058E-2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1.3913622833040493E-2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1.3983259508282929E-2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1.4052896183525362E-2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1.4122532858767798E-2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1.4192169534010229E-2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1.4256728086846799E-2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1.4321286639683366E-2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1.4385845192519932E-2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1.4450403745356499E-2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1.4514962298193067E-2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1.8927763252480946E-2</v>
      </c>
      <c r="C8" s="7">
        <f>$B8 * IFERROR(VLOOKUP("industry|NOx|Asthma symptoms wheeze", US_national_yearly!$D:$AM, 11, FALSE) / VLOOKUP("industry|NOx|Asthma symptoms wheeze", US_national_yearly!$D:$AM, 10, FALSE), 1)</f>
        <v>1.9186701476481053E-2</v>
      </c>
      <c r="D8" s="7">
        <f>$B8 * IFERROR(VLOOKUP("industry|NOx|Asthma symptoms wheeze", US_national_yearly!$D:$AM, 12, FALSE) / VLOOKUP("industry|NOx|Asthma symptoms wheeze", US_national_yearly!$D:$AM, 10, FALSE), 1)</f>
        <v>1.944563970048116E-2</v>
      </c>
      <c r="E8" s="7">
        <f>$B8 * IFERROR(VLOOKUP("industry|NOx|Asthma symptoms wheeze", US_national_yearly!$D:$AM, 13, FALSE) / VLOOKUP("industry|NOx|Asthma symptoms wheeze", US_national_yearly!$D:$AM, 10, FALSE), 1)</f>
        <v>1.970457792448127E-2</v>
      </c>
      <c r="F8" s="7">
        <f>$B8 * IFERROR(VLOOKUP("industry|NOx|Asthma symptoms wheeze", US_national_yearly!$D:$AM, 14, FALSE) / VLOOKUP("industry|NOx|Asthma symptoms wheeze", US_national_yearly!$D:$AM, 10, FALSE), 1)</f>
        <v>1.996351614848137E-2</v>
      </c>
      <c r="G8" s="7">
        <f>$B8 * IFERROR(VLOOKUP("industry|NOx|Asthma symptoms wheeze", US_national_yearly!$D:$AM, 15, FALSE) / VLOOKUP("industry|NOx|Asthma symptoms wheeze", US_national_yearly!$D:$AM, 10, FALSE), 1)</f>
        <v>2.0171144433166619E-2</v>
      </c>
      <c r="H8" s="7">
        <f>$B8 * IFERROR(VLOOKUP("industry|NOx|Asthma symptoms wheeze", US_national_yearly!$D:$AM, 16, FALSE) / VLOOKUP("industry|NOx|Asthma symptoms wheeze", US_national_yearly!$D:$AM, 10, FALSE), 1)</f>
        <v>2.0378772717851858E-2</v>
      </c>
      <c r="I8" s="7">
        <f>$B8 * IFERROR(VLOOKUP("industry|NOx|Asthma symptoms wheeze", US_national_yearly!$D:$AM, 17, FALSE) / VLOOKUP("industry|NOx|Asthma symptoms wheeze", US_national_yearly!$D:$AM, 10, FALSE), 1)</f>
        <v>2.0451029201621704E-2</v>
      </c>
      <c r="J8" s="7">
        <f>$B8 * IFERROR(VLOOKUP("industry|NOx|Asthma symptoms wheeze", US_national_yearly!$D:$AM, 18, FALSE) / VLOOKUP("industry|NOx|Asthma symptoms wheeze", US_national_yearly!$D:$AM, 10, FALSE), 1)</f>
        <v>2.0523285685391548E-2</v>
      </c>
      <c r="K8" s="7">
        <f>$B8 * IFERROR(VLOOKUP("industry|NOx|Asthma symptoms wheeze", US_national_yearly!$D:$AM, 19, FALSE) / VLOOKUP("industry|NOx|Asthma symptoms wheeze", US_national_yearly!$D:$AM, 10, FALSE), 1)</f>
        <v>2.0595542169161395E-2</v>
      </c>
      <c r="L8" s="7">
        <f>$B8 * IFERROR(VLOOKUP("industry|NOx|Asthma symptoms wheeze", US_national_yearly!$D:$AM, 20, FALSE) / VLOOKUP("industry|NOx|Asthma symptoms wheeze", US_national_yearly!$D:$AM, 10, FALSE), 1)</f>
        <v>2.0667798652931234E-2</v>
      </c>
      <c r="M8" s="7">
        <f>$B8 * IFERROR(VLOOKUP("industry|NOx|Asthma symptoms wheeze", US_national_yearly!$D:$AM, 21, FALSE) / VLOOKUP("industry|NOx|Asthma symptoms wheeze", US_national_yearly!$D:$AM, 10, FALSE), 1)</f>
        <v>2.0740055136701081E-2</v>
      </c>
      <c r="N8" s="7">
        <f>$B8 * IFERROR(VLOOKUP("industry|NOx|Asthma symptoms wheeze", US_national_yearly!$D:$AM, 22, FALSE) / VLOOKUP("industry|NOx|Asthma symptoms wheeze", US_national_yearly!$D:$AM, 10, FALSE), 1)</f>
        <v>2.0822537885413245E-2</v>
      </c>
      <c r="O8" s="7">
        <f>$B8 * IFERROR(VLOOKUP("industry|NOx|Asthma symptoms wheeze", US_national_yearly!$D:$AM, 23, FALSE) / VLOOKUP("industry|NOx|Asthma symptoms wheeze", US_national_yearly!$D:$AM, 10, FALSE), 1)</f>
        <v>2.0905020634125412E-2</v>
      </c>
      <c r="P8" s="7">
        <f>$B8 * IFERROR(VLOOKUP("industry|NOx|Asthma symptoms wheeze", US_national_yearly!$D:$AM, 24, FALSE) / VLOOKUP("industry|NOx|Asthma symptoms wheeze", US_national_yearly!$D:$AM, 10, FALSE), 1)</f>
        <v>2.0987503382837572E-2</v>
      </c>
      <c r="Q8" s="7">
        <f>$B8 * IFERROR(VLOOKUP("industry|NOx|Asthma symptoms wheeze", US_national_yearly!$D:$AM, 25, FALSE) / VLOOKUP("industry|NOx|Asthma symptoms wheeze", US_national_yearly!$D:$AM, 10, FALSE), 1)</f>
        <v>2.1069986131549739E-2</v>
      </c>
      <c r="R8" s="7">
        <f>$B8 * IFERROR(VLOOKUP("industry|NOx|Asthma symptoms wheeze", US_national_yearly!$D:$AM, 26, FALSE) / VLOOKUP("industry|NOx|Asthma symptoms wheeze", US_national_yearly!$D:$AM, 10, FALSE), 1)</f>
        <v>2.1152468880261906E-2</v>
      </c>
      <c r="S8" s="7">
        <f>$B8 * IFERROR(VLOOKUP("industry|NOx|Asthma symptoms wheeze", US_national_yearly!$D:$AM, 27, FALSE) / VLOOKUP("industry|NOx|Asthma symptoms wheeze", US_national_yearly!$D:$AM, 10, FALSE), 1)</f>
        <v>2.1258867976532581E-2</v>
      </c>
      <c r="T8" s="7">
        <f>$B8 * IFERROR(VLOOKUP("industry|NOx|Asthma symptoms wheeze", US_national_yearly!$D:$AM, 28, FALSE) / VLOOKUP("industry|NOx|Asthma symptoms wheeze", US_national_yearly!$D:$AM, 10, FALSE), 1)</f>
        <v>2.1365267072803253E-2</v>
      </c>
      <c r="U8" s="7">
        <f>$B8 * IFERROR(VLOOKUP("industry|NOx|Asthma symptoms wheeze", US_national_yearly!$D:$AM, 29, FALSE) / VLOOKUP("industry|NOx|Asthma symptoms wheeze", US_national_yearly!$D:$AM, 10, FALSE), 1)</f>
        <v>2.1471666169073929E-2</v>
      </c>
      <c r="V8" s="7">
        <f>$B8 * IFERROR(VLOOKUP("industry|NOx|Asthma symptoms wheeze", US_national_yearly!$D:$AM, 30, FALSE) / VLOOKUP("industry|NOx|Asthma symptoms wheeze", US_national_yearly!$D:$AM, 10, FALSE), 1)</f>
        <v>2.1578065265344601E-2</v>
      </c>
      <c r="W8" s="7">
        <f>$B8 * IFERROR(VLOOKUP("industry|NOx|Asthma symptoms wheeze", US_national_yearly!$D:$AM, 31, FALSE) / VLOOKUP("industry|NOx|Asthma symptoms wheeze", US_national_yearly!$D:$AM, 10, FALSE), 1)</f>
        <v>2.1684464361615273E-2</v>
      </c>
      <c r="X8" s="7">
        <f>$B8 * IFERROR(VLOOKUP("industry|NOx|Asthma symptoms wheeze", US_national_yearly!$D:$AM, 32, FALSE) / VLOOKUP("industry|NOx|Asthma symptoms wheeze", US_national_yearly!$D:$AM, 10, FALSE), 1)</f>
        <v>2.1783104505800076E-2</v>
      </c>
      <c r="Y8" s="7">
        <f>$B8 * IFERROR(VLOOKUP("industry|NOx|Asthma symptoms wheeze", US_national_yearly!$D:$AM, 33, FALSE) / VLOOKUP("industry|NOx|Asthma symptoms wheeze", US_national_yearly!$D:$AM, 10, FALSE), 1)</f>
        <v>2.1881744649984873E-2</v>
      </c>
      <c r="Z8" s="7">
        <f>$B8 * IFERROR(VLOOKUP("industry|NOx|Asthma symptoms wheeze", US_national_yearly!$D:$AM, 34, FALSE) / VLOOKUP("industry|NOx|Asthma symptoms wheeze", US_national_yearly!$D:$AM, 10, FALSE), 1)</f>
        <v>2.1980384794169673E-2</v>
      </c>
      <c r="AA8" s="7">
        <f>$B8 * IFERROR(VLOOKUP("industry|NOx|Asthma symptoms wheeze", US_national_yearly!$D:$AM, 35, FALSE) / VLOOKUP("industry|NOx|Asthma symptoms wheeze", US_national_yearly!$D:$AM, 10, FALSE), 1)</f>
        <v>2.2079024938354466E-2</v>
      </c>
      <c r="AB8" s="7">
        <f>$B8 * IFERROR(VLOOKUP("industry|NOx|Asthma symptoms wheeze", US_national_yearly!$D:$AM, 36, FALSE) / VLOOKUP("industry|NOx|Asthma symptoms wheeze", US_national_yearly!$D:$AM, 10, FALSE), 1)</f>
        <v>2.217766508253928E-2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3.9449216456175797E-4</v>
      </c>
      <c r="C12" s="7">
        <f>$B12 * IFERROR(VLOOKUP("industry|NOx|Respiratory hospital admissions", US_national_yearly!$D:$AM, 11, FALSE) / VLOOKUP("industry|NOx|Respiratory hospital admissions", US_national_yearly!$D:$AM, 10, FALSE), 1)</f>
        <v>4.0440311469355398E-4</v>
      </c>
      <c r="D12" s="7">
        <f>$B12 * IFERROR(VLOOKUP("industry|NOx|Respiratory hospital admissions", US_national_yearly!$D:$AM, 12, FALSE) / VLOOKUP("industry|NOx|Respiratory hospital admissions", US_national_yearly!$D:$AM, 10, FALSE), 1)</f>
        <v>4.1431406482534994E-4</v>
      </c>
      <c r="E12" s="7">
        <f>$B12 * IFERROR(VLOOKUP("industry|NOx|Respiratory hospital admissions", US_national_yearly!$D:$AM, 13, FALSE) / VLOOKUP("industry|NOx|Respiratory hospital admissions", US_national_yearly!$D:$AM, 10, FALSE), 1)</f>
        <v>4.2422501495714601E-4</v>
      </c>
      <c r="F12" s="7">
        <f>$B12 * IFERROR(VLOOKUP("industry|NOx|Respiratory hospital admissions", US_national_yearly!$D:$AM, 14, FALSE) / VLOOKUP("industry|NOx|Respiratory hospital admissions", US_national_yearly!$D:$AM, 10, FALSE), 1)</f>
        <v>4.3413596508894191E-4</v>
      </c>
      <c r="G12" s="7">
        <f>$B12 * IFERROR(VLOOKUP("industry|NOx|Respiratory hospital admissions", US_national_yearly!$D:$AM, 15, FALSE) / VLOOKUP("industry|NOx|Respiratory hospital admissions", US_national_yearly!$D:$AM, 10, FALSE), 1)</f>
        <v>4.4361622960266211E-4</v>
      </c>
      <c r="H12" s="7">
        <f>$B12 * IFERROR(VLOOKUP("industry|NOx|Respiratory hospital admissions", US_national_yearly!$D:$AM, 16, FALSE) / VLOOKUP("industry|NOx|Respiratory hospital admissions", US_national_yearly!$D:$AM, 10, FALSE), 1)</f>
        <v>4.5309649411638236E-4</v>
      </c>
      <c r="I12" s="7">
        <f>$B12 * IFERROR(VLOOKUP("industry|NOx|Respiratory hospital admissions", US_national_yearly!$D:$AM, 17, FALSE) / VLOOKUP("industry|NOx|Respiratory hospital admissions", US_national_yearly!$D:$AM, 10, FALSE), 1)</f>
        <v>4.6117022669502593E-4</v>
      </c>
      <c r="J12" s="7">
        <f>$B12 * IFERROR(VLOOKUP("industry|NOx|Respiratory hospital admissions", US_national_yearly!$D:$AM, 18, FALSE) / VLOOKUP("industry|NOx|Respiratory hospital admissions", US_national_yearly!$D:$AM, 10, FALSE), 1)</f>
        <v>4.6924395927366955E-4</v>
      </c>
      <c r="K12" s="7">
        <f>$B12 * IFERROR(VLOOKUP("industry|NOx|Respiratory hospital admissions", US_national_yearly!$D:$AM, 19, FALSE) / VLOOKUP("industry|NOx|Respiratory hospital admissions", US_national_yearly!$D:$AM, 10, FALSE), 1)</f>
        <v>4.7731769185231323E-4</v>
      </c>
      <c r="L12" s="7">
        <f>$B12 * IFERROR(VLOOKUP("industry|NOx|Respiratory hospital admissions", US_national_yearly!$D:$AM, 20, FALSE) / VLOOKUP("industry|NOx|Respiratory hospital admissions", US_national_yearly!$D:$AM, 10, FALSE), 1)</f>
        <v>4.8539142443095696E-4</v>
      </c>
      <c r="M12" s="7">
        <f>$B12 * IFERROR(VLOOKUP("industry|NOx|Respiratory hospital admissions", US_national_yearly!$D:$AM, 21, FALSE) / VLOOKUP("industry|NOx|Respiratory hospital admissions", US_national_yearly!$D:$AM, 10, FALSE), 1)</f>
        <v>4.9346515700960053E-4</v>
      </c>
      <c r="N12" s="7">
        <f>$B12 * IFERROR(VLOOKUP("industry|NOx|Respiratory hospital admissions", US_national_yearly!$D:$AM, 22, FALSE) / VLOOKUP("industry|NOx|Respiratory hospital admissions", US_national_yearly!$D:$AM, 10, FALSE), 1)</f>
        <v>4.988763097469915E-4</v>
      </c>
      <c r="O12" s="7">
        <f>$B12 * IFERROR(VLOOKUP("industry|NOx|Respiratory hospital admissions", US_national_yearly!$D:$AM, 23, FALSE) / VLOOKUP("industry|NOx|Respiratory hospital admissions", US_national_yearly!$D:$AM, 10, FALSE), 1)</f>
        <v>5.0428746248438235E-4</v>
      </c>
      <c r="P12" s="7">
        <f>$B12 * IFERROR(VLOOKUP("industry|NOx|Respiratory hospital admissions", US_national_yearly!$D:$AM, 24, FALSE) / VLOOKUP("industry|NOx|Respiratory hospital admissions", US_national_yearly!$D:$AM, 10, FALSE), 1)</f>
        <v>5.0969861522177332E-4</v>
      </c>
      <c r="Q12" s="7">
        <f>$B12 * IFERROR(VLOOKUP("industry|NOx|Respiratory hospital admissions", US_national_yearly!$D:$AM, 25, FALSE) / VLOOKUP("industry|NOx|Respiratory hospital admissions", US_national_yearly!$D:$AM, 10, FALSE), 1)</f>
        <v>5.1510976795916417E-4</v>
      </c>
      <c r="R12" s="7">
        <f>$B12 * IFERROR(VLOOKUP("industry|NOx|Respiratory hospital admissions", US_national_yearly!$D:$AM, 26, FALSE) / VLOOKUP("industry|NOx|Respiratory hospital admissions", US_national_yearly!$D:$AM, 10, FALSE), 1)</f>
        <v>5.2052092069655514E-4</v>
      </c>
      <c r="S12" s="7">
        <f>$B12 * IFERROR(VLOOKUP("industry|NOx|Respiratory hospital admissions", US_national_yearly!$D:$AM, 27, FALSE) / VLOOKUP("industry|NOx|Respiratory hospital admissions", US_national_yearly!$D:$AM, 10, FALSE), 1)</f>
        <v>5.2345870647350326E-4</v>
      </c>
      <c r="T12" s="7">
        <f>$B12 * IFERROR(VLOOKUP("industry|NOx|Respiratory hospital admissions", US_national_yearly!$D:$AM, 28, FALSE) / VLOOKUP("industry|NOx|Respiratory hospital admissions", US_national_yearly!$D:$AM, 10, FALSE), 1)</f>
        <v>5.2639649225045149E-4</v>
      </c>
      <c r="U12" s="7">
        <f>$B12 * IFERROR(VLOOKUP("industry|NOx|Respiratory hospital admissions", US_national_yearly!$D:$AM, 29, FALSE) / VLOOKUP("industry|NOx|Respiratory hospital admissions", US_national_yearly!$D:$AM, 10, FALSE), 1)</f>
        <v>5.2933427802739951E-4</v>
      </c>
      <c r="V12" s="7">
        <f>$B12 * IFERROR(VLOOKUP("industry|NOx|Respiratory hospital admissions", US_national_yearly!$D:$AM, 30, FALSE) / VLOOKUP("industry|NOx|Respiratory hospital admissions", US_national_yearly!$D:$AM, 10, FALSE), 1)</f>
        <v>5.3227206380434763E-4</v>
      </c>
      <c r="W12" s="7">
        <f>$B12 * IFERROR(VLOOKUP("industry|NOx|Respiratory hospital admissions", US_national_yearly!$D:$AM, 31, FALSE) / VLOOKUP("industry|NOx|Respiratory hospital admissions", US_national_yearly!$D:$AM, 10, FALSE), 1)</f>
        <v>5.3520984958129586E-4</v>
      </c>
      <c r="X12" s="7">
        <f>$B12 * IFERROR(VLOOKUP("industry|NOx|Respiratory hospital admissions", US_national_yearly!$D:$AM, 32, FALSE) / VLOOKUP("industry|NOx|Respiratory hospital admissions", US_national_yearly!$D:$AM, 10, FALSE), 1)</f>
        <v>5.3725825479605284E-4</v>
      </c>
      <c r="Y12" s="7">
        <f>$B12 * IFERROR(VLOOKUP("industry|NOx|Respiratory hospital admissions", US_national_yearly!$D:$AM, 33, FALSE) / VLOOKUP("industry|NOx|Respiratory hospital admissions", US_national_yearly!$D:$AM, 10, FALSE), 1)</f>
        <v>5.3930666001080982E-4</v>
      </c>
      <c r="Z12" s="7">
        <f>$B12 * IFERROR(VLOOKUP("industry|NOx|Respiratory hospital admissions", US_national_yearly!$D:$AM, 34, FALSE) / VLOOKUP("industry|NOx|Respiratory hospital admissions", US_national_yearly!$D:$AM, 10, FALSE), 1)</f>
        <v>5.413550652255669E-4</v>
      </c>
      <c r="AA12" s="7">
        <f>$B12 * IFERROR(VLOOKUP("industry|NOx|Respiratory hospital admissions", US_national_yearly!$D:$AM, 35, FALSE) / VLOOKUP("industry|NOx|Respiratory hospital admissions", US_national_yearly!$D:$AM, 10, FALSE), 1)</f>
        <v>5.4340347044032388E-4</v>
      </c>
      <c r="AB12" s="7">
        <f>$B12 * IFERROR(VLOOKUP("industry|NOx|Respiratory hospital admissions", US_national_yearly!$D:$AM, 36, FALSE) / VLOOKUP("industry|NOx|Respiratory hospital admissions", US_national_yearly!$D:$AM, 10, FALSE), 1)</f>
        <v>5.4545187565508096E-4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2.3223371893322901E-3</v>
      </c>
      <c r="C13" s="7">
        <f>$B13 * IFERROR(VLOOKUP("industry|NOx|Non-fatal heart attacks", US_national_yearly!$D:$AM, 11, FALSE) / VLOOKUP("industry|NOx|Non-fatal heart attacks", US_national_yearly!$D:$AM, 10, FALSE), 1)</f>
        <v>2.3886885882809152E-3</v>
      </c>
      <c r="D13" s="7">
        <f>$B13 * IFERROR(VLOOKUP("industry|NOx|Non-fatal heart attacks", US_national_yearly!$D:$AM, 12, FALSE) / VLOOKUP("industry|NOx|Non-fatal heart attacks", US_national_yearly!$D:$AM, 10, FALSE), 1)</f>
        <v>2.4550399872295399E-3</v>
      </c>
      <c r="E13" s="7">
        <f>$B13 * IFERROR(VLOOKUP("industry|NOx|Non-fatal heart attacks", US_national_yearly!$D:$AM, 13, FALSE) / VLOOKUP("industry|NOx|Non-fatal heart attacks", US_national_yearly!$D:$AM, 10, FALSE), 1)</f>
        <v>2.521391386178165E-3</v>
      </c>
      <c r="F13" s="7">
        <f>$B13 * IFERROR(VLOOKUP("industry|NOx|Non-fatal heart attacks", US_national_yearly!$D:$AM, 14, FALSE) / VLOOKUP("industry|NOx|Non-fatal heart attacks", US_national_yearly!$D:$AM, 10, FALSE), 1)</f>
        <v>2.5877427851267901E-3</v>
      </c>
      <c r="G13" s="7">
        <f>$B13 * IFERROR(VLOOKUP("industry|NOx|Non-fatal heart attacks", US_national_yearly!$D:$AM, 15, FALSE) / VLOOKUP("industry|NOx|Non-fatal heart attacks", US_national_yearly!$D:$AM, 10, FALSE), 1)</f>
        <v>2.6498006716529497E-3</v>
      </c>
      <c r="H13" s="7">
        <f>$B13 * IFERROR(VLOOKUP("industry|NOx|Non-fatal heart attacks", US_national_yearly!$D:$AM, 16, FALSE) / VLOOKUP("industry|NOx|Non-fatal heart attacks", US_national_yearly!$D:$AM, 10, FALSE), 1)</f>
        <v>2.7118585581791086E-3</v>
      </c>
      <c r="I13" s="7">
        <f>$B13 * IFERROR(VLOOKUP("industry|NOx|Non-fatal heart attacks", US_national_yearly!$D:$AM, 17, FALSE) / VLOOKUP("industry|NOx|Non-fatal heart attacks", US_national_yearly!$D:$AM, 10, FALSE), 1)</f>
        <v>2.7609398229480209E-3</v>
      </c>
      <c r="J13" s="7">
        <f>$B13 * IFERROR(VLOOKUP("industry|NOx|Non-fatal heart attacks", US_national_yearly!$D:$AM, 18, FALSE) / VLOOKUP("industry|NOx|Non-fatal heart attacks", US_national_yearly!$D:$AM, 10, FALSE), 1)</f>
        <v>2.8100210877169333E-3</v>
      </c>
      <c r="K13" s="7">
        <f>$B13 * IFERROR(VLOOKUP("industry|NOx|Non-fatal heart attacks", US_national_yearly!$D:$AM, 19, FALSE) / VLOOKUP("industry|NOx|Non-fatal heart attacks", US_national_yearly!$D:$AM, 10, FALSE), 1)</f>
        <v>2.8591023524858449E-3</v>
      </c>
      <c r="L13" s="7">
        <f>$B13 * IFERROR(VLOOKUP("industry|NOx|Non-fatal heart attacks", US_national_yearly!$D:$AM, 20, FALSE) / VLOOKUP("industry|NOx|Non-fatal heart attacks", US_national_yearly!$D:$AM, 10, FALSE), 1)</f>
        <v>2.9081836172547585E-3</v>
      </c>
      <c r="M13" s="7">
        <f>$B13 * IFERROR(VLOOKUP("industry|NOx|Non-fatal heart attacks", US_national_yearly!$D:$AM, 21, FALSE) / VLOOKUP("industry|NOx|Non-fatal heart attacks", US_national_yearly!$D:$AM, 10, FALSE), 1)</f>
        <v>2.9572648820236714E-3</v>
      </c>
      <c r="N13" s="7">
        <f>$B13 * IFERROR(VLOOKUP("industry|NOx|Non-fatal heart attacks", US_national_yearly!$D:$AM, 22, FALSE) / VLOOKUP("industry|NOx|Non-fatal heart attacks", US_national_yearly!$D:$AM, 10, FALSE), 1)</f>
        <v>2.9868339883711405E-3</v>
      </c>
      <c r="O13" s="7">
        <f>$B13 * IFERROR(VLOOKUP("industry|NOx|Non-fatal heart attacks", US_national_yearly!$D:$AM, 23, FALSE) / VLOOKUP("industry|NOx|Non-fatal heart attacks", US_national_yearly!$D:$AM, 10, FALSE), 1)</f>
        <v>3.0164030947186092E-3</v>
      </c>
      <c r="P13" s="7">
        <f>$B13 * IFERROR(VLOOKUP("industry|NOx|Non-fatal heart attacks", US_national_yearly!$D:$AM, 24, FALSE) / VLOOKUP("industry|NOx|Non-fatal heart attacks", US_national_yearly!$D:$AM, 10, FALSE), 1)</f>
        <v>3.0459722010660784E-3</v>
      </c>
      <c r="Q13" s="7">
        <f>$B13 * IFERROR(VLOOKUP("industry|NOx|Non-fatal heart attacks", US_national_yearly!$D:$AM, 25, FALSE) / VLOOKUP("industry|NOx|Non-fatal heart attacks", US_national_yearly!$D:$AM, 10, FALSE), 1)</f>
        <v>3.0755413074135471E-3</v>
      </c>
      <c r="R13" s="7">
        <f>$B13 * IFERROR(VLOOKUP("industry|NOx|Non-fatal heart attacks", US_national_yearly!$D:$AM, 26, FALSE) / VLOOKUP("industry|NOx|Non-fatal heart attacks", US_national_yearly!$D:$AM, 10, FALSE), 1)</f>
        <v>3.1051104137610158E-3</v>
      </c>
      <c r="S13" s="7">
        <f>$B13 * IFERROR(VLOOKUP("industry|NOx|Non-fatal heart attacks", US_national_yearly!$D:$AM, 27, FALSE) / VLOOKUP("industry|NOx|Non-fatal heart attacks", US_national_yearly!$D:$AM, 10, FALSE), 1)</f>
        <v>3.118677309550958E-3</v>
      </c>
      <c r="T13" s="7">
        <f>$B13 * IFERROR(VLOOKUP("industry|NOx|Non-fatal heart attacks", US_national_yearly!$D:$AM, 28, FALSE) / VLOOKUP("industry|NOx|Non-fatal heart attacks", US_national_yearly!$D:$AM, 10, FALSE), 1)</f>
        <v>3.1322442053408994E-3</v>
      </c>
      <c r="U13" s="7">
        <f>$B13 * IFERROR(VLOOKUP("industry|NOx|Non-fatal heart attacks", US_national_yearly!$D:$AM, 29, FALSE) / VLOOKUP("industry|NOx|Non-fatal heart attacks", US_national_yearly!$D:$AM, 10, FALSE), 1)</f>
        <v>3.1458111011308408E-3</v>
      </c>
      <c r="V13" s="7">
        <f>$B13 * IFERROR(VLOOKUP("industry|NOx|Non-fatal heart attacks", US_national_yearly!$D:$AM, 30, FALSE) / VLOOKUP("industry|NOx|Non-fatal heart attacks", US_national_yearly!$D:$AM, 10, FALSE), 1)</f>
        <v>3.159377996920783E-3</v>
      </c>
      <c r="W13" s="7">
        <f>$B13 * IFERROR(VLOOKUP("industry|NOx|Non-fatal heart attacks", US_national_yearly!$D:$AM, 31, FALSE) / VLOOKUP("industry|NOx|Non-fatal heart attacks", US_national_yearly!$D:$AM, 10, FALSE), 1)</f>
        <v>3.1729448927107244E-3</v>
      </c>
      <c r="X13" s="7">
        <f>$B13 * IFERROR(VLOOKUP("industry|NOx|Non-fatal heart attacks", US_national_yearly!$D:$AM, 32, FALSE) / VLOOKUP("industry|NOx|Non-fatal heart attacks", US_national_yearly!$D:$AM, 10, FALSE), 1)</f>
        <v>3.1821010610529614E-3</v>
      </c>
      <c r="Y13" s="7">
        <f>$B13 * IFERROR(VLOOKUP("industry|NOx|Non-fatal heart attacks", US_national_yearly!$D:$AM, 33, FALSE) / VLOOKUP("industry|NOx|Non-fatal heart attacks", US_national_yearly!$D:$AM, 10, FALSE), 1)</f>
        <v>3.1912572293951984E-3</v>
      </c>
      <c r="Z13" s="7">
        <f>$B13 * IFERROR(VLOOKUP("industry|NOx|Non-fatal heart attacks", US_national_yearly!$D:$AM, 34, FALSE) / VLOOKUP("industry|NOx|Non-fatal heart attacks", US_national_yearly!$D:$AM, 10, FALSE), 1)</f>
        <v>3.2004133977374355E-3</v>
      </c>
      <c r="AA13" s="7">
        <f>$B13 * IFERROR(VLOOKUP("industry|NOx|Non-fatal heart attacks", US_national_yearly!$D:$AM, 35, FALSE) / VLOOKUP("industry|NOx|Non-fatal heart attacks", US_national_yearly!$D:$AM, 10, FALSE), 1)</f>
        <v>3.2095695660796725E-3</v>
      </c>
      <c r="AB13" s="7">
        <f>$B13 * IFERROR(VLOOKUP("industry|NOx|Non-fatal heart attacks", US_national_yearly!$D:$AM, 36, FALSE) / VLOOKUP("industry|NOx|Non-fatal heart attacks", US_national_yearly!$D:$AM, 10, FALSE), 1)</f>
        <v>3.21872573442191E-3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1.2672188183844826</v>
      </c>
      <c r="C14" s="7">
        <f>$B14 * IFERROR(VLOOKUP("industry|NOx|Minor restricted activity days", US_national_yearly!$D:$AM, 11, FALSE) / VLOOKUP("industry|NOx|Minor restricted activity days", US_national_yearly!$D:$AM, 10, FALSE), 1)</f>
        <v>1.2690963008482463</v>
      </c>
      <c r="D14" s="7">
        <f>$B14 * IFERROR(VLOOKUP("industry|NOx|Minor restricted activity days", US_national_yearly!$D:$AM, 12, FALSE) / VLOOKUP("industry|NOx|Minor restricted activity days", US_national_yearly!$D:$AM, 10, FALSE), 1)</f>
        <v>1.2709737833120096</v>
      </c>
      <c r="E14" s="7">
        <f>$B14 * IFERROR(VLOOKUP("industry|NOx|Minor restricted activity days", US_national_yearly!$D:$AM, 13, FALSE) / VLOOKUP("industry|NOx|Minor restricted activity days", US_national_yearly!$D:$AM, 10, FALSE), 1)</f>
        <v>1.2728512657757733</v>
      </c>
      <c r="F14" s="7">
        <f>$B14 * IFERROR(VLOOKUP("industry|NOx|Minor restricted activity days", US_national_yearly!$D:$AM, 14, FALSE) / VLOOKUP("industry|NOx|Minor restricted activity days", US_national_yearly!$D:$AM, 10, FALSE), 1)</f>
        <v>1.2747287482395369</v>
      </c>
      <c r="G14" s="7">
        <f>$B14 * IFERROR(VLOOKUP("industry|NOx|Minor restricted activity days", US_national_yearly!$D:$AM, 15, FALSE) / VLOOKUP("industry|NOx|Minor restricted activity days", US_national_yearly!$D:$AM, 10, FALSE), 1)</f>
        <v>1.2781465294859433</v>
      </c>
      <c r="H14" s="7">
        <f>$B14 * IFERROR(VLOOKUP("industry|NOx|Minor restricted activity days", US_national_yearly!$D:$AM, 16, FALSE) / VLOOKUP("industry|NOx|Minor restricted activity days", US_national_yearly!$D:$AM, 10, FALSE), 1)</f>
        <v>1.2815643107323498</v>
      </c>
      <c r="I14" s="7">
        <f>$B14 * IFERROR(VLOOKUP("industry|NOx|Minor restricted activity days", US_national_yearly!$D:$AM, 17, FALSE) / VLOOKUP("industry|NOx|Minor restricted activity days", US_national_yearly!$D:$AM, 10, FALSE), 1)</f>
        <v>1.2882926996286483</v>
      </c>
      <c r="J14" s="7">
        <f>$B14 * IFERROR(VLOOKUP("industry|NOx|Minor restricted activity days", US_national_yearly!$D:$AM, 18, FALSE) / VLOOKUP("industry|NOx|Minor restricted activity days", US_national_yearly!$D:$AM, 10, FALSE), 1)</f>
        <v>1.2950210885249467</v>
      </c>
      <c r="K14" s="7">
        <f>$B14 * IFERROR(VLOOKUP("industry|NOx|Minor restricted activity days", US_national_yearly!$D:$AM, 19, FALSE) / VLOOKUP("industry|NOx|Minor restricted activity days", US_national_yearly!$D:$AM, 10, FALSE), 1)</f>
        <v>1.3017494774212446</v>
      </c>
      <c r="L14" s="7">
        <f>$B14 * IFERROR(VLOOKUP("industry|NOx|Minor restricted activity days", US_national_yearly!$D:$AM, 20, FALSE) / VLOOKUP("industry|NOx|Minor restricted activity days", US_national_yearly!$D:$AM, 10, FALSE), 1)</f>
        <v>1.3084778663175431</v>
      </c>
      <c r="M14" s="7">
        <f>$B14 * IFERROR(VLOOKUP("industry|NOx|Minor restricted activity days", US_national_yearly!$D:$AM, 21, FALSE) / VLOOKUP("industry|NOx|Minor restricted activity days", US_national_yearly!$D:$AM, 10, FALSE), 1)</f>
        <v>1.3152062552138415</v>
      </c>
      <c r="N14" s="7">
        <f>$B14 * IFERROR(VLOOKUP("industry|NOx|Minor restricted activity days", US_national_yearly!$D:$AM, 22, FALSE) / VLOOKUP("industry|NOx|Minor restricted activity days", US_national_yearly!$D:$AM, 10, FALSE), 1)</f>
        <v>1.3248955850312087</v>
      </c>
      <c r="O14" s="7">
        <f>$B14 * IFERROR(VLOOKUP("industry|NOx|Minor restricted activity days", US_national_yearly!$D:$AM, 23, FALSE) / VLOOKUP("industry|NOx|Minor restricted activity days", US_national_yearly!$D:$AM, 10, FALSE), 1)</f>
        <v>1.3345849148485764</v>
      </c>
      <c r="P14" s="7">
        <f>$B14 * IFERROR(VLOOKUP("industry|NOx|Minor restricted activity days", US_national_yearly!$D:$AM, 24, FALSE) / VLOOKUP("industry|NOx|Minor restricted activity days", US_national_yearly!$D:$AM, 10, FALSE), 1)</f>
        <v>1.3442742446659441</v>
      </c>
      <c r="Q14" s="7">
        <f>$B14 * IFERROR(VLOOKUP("industry|NOx|Minor restricted activity days", US_national_yearly!$D:$AM, 25, FALSE) / VLOOKUP("industry|NOx|Minor restricted activity days", US_national_yearly!$D:$AM, 10, FALSE), 1)</f>
        <v>1.3539635744833114</v>
      </c>
      <c r="R14" s="7">
        <f>$B14 * IFERROR(VLOOKUP("industry|NOx|Minor restricted activity days", US_national_yearly!$D:$AM, 26, FALSE) / VLOOKUP("industry|NOx|Minor restricted activity days", US_national_yearly!$D:$AM, 10, FALSE), 1)</f>
        <v>1.3636529043006791</v>
      </c>
      <c r="S14" s="7">
        <f>$B14 * IFERROR(VLOOKUP("industry|NOx|Minor restricted activity days", US_national_yearly!$D:$AM, 27, FALSE) / VLOOKUP("industry|NOx|Minor restricted activity days", US_national_yearly!$D:$AM, 10, FALSE), 1)</f>
        <v>1.3733526078422849</v>
      </c>
      <c r="T14" s="7">
        <f>$B14 * IFERROR(VLOOKUP("industry|NOx|Minor restricted activity days", US_national_yearly!$D:$AM, 28, FALSE) / VLOOKUP("industry|NOx|Minor restricted activity days", US_national_yearly!$D:$AM, 10, FALSE), 1)</f>
        <v>1.3830523113838911</v>
      </c>
      <c r="U14" s="7">
        <f>$B14 * IFERROR(VLOOKUP("industry|NOx|Minor restricted activity days", US_national_yearly!$D:$AM, 29, FALSE) / VLOOKUP("industry|NOx|Minor restricted activity days", US_national_yearly!$D:$AM, 10, FALSE), 1)</f>
        <v>1.3927520149254973</v>
      </c>
      <c r="V14" s="7">
        <f>$B14 * IFERROR(VLOOKUP("industry|NOx|Minor restricted activity days", US_national_yearly!$D:$AM, 30, FALSE) / VLOOKUP("industry|NOx|Minor restricted activity days", US_national_yearly!$D:$AM, 10, FALSE), 1)</f>
        <v>1.4024517184671035</v>
      </c>
      <c r="W14" s="7">
        <f>$B14 * IFERROR(VLOOKUP("industry|NOx|Minor restricted activity days", US_national_yearly!$D:$AM, 31, FALSE) / VLOOKUP("industry|NOx|Minor restricted activity days", US_national_yearly!$D:$AM, 10, FALSE), 1)</f>
        <v>1.4121514220087097</v>
      </c>
      <c r="X14" s="7">
        <f>$B14 * IFERROR(VLOOKUP("industry|NOx|Minor restricted activity days", US_national_yearly!$D:$AM, 32, FALSE) / VLOOKUP("industry|NOx|Minor restricted activity days", US_national_yearly!$D:$AM, 10, FALSE), 1)</f>
        <v>1.4203407401465271</v>
      </c>
      <c r="Y14" s="7">
        <f>$B14 * IFERROR(VLOOKUP("industry|NOx|Minor restricted activity days", US_national_yearly!$D:$AM, 33, FALSE) / VLOOKUP("industry|NOx|Minor restricted activity days", US_national_yearly!$D:$AM, 10, FALSE), 1)</f>
        <v>1.4285300582843445</v>
      </c>
      <c r="Z14" s="7">
        <f>$B14 * IFERROR(VLOOKUP("industry|NOx|Minor restricted activity days", US_national_yearly!$D:$AM, 34, FALSE) / VLOOKUP("industry|NOx|Minor restricted activity days", US_national_yearly!$D:$AM, 10, FALSE), 1)</f>
        <v>1.4367193764221617</v>
      </c>
      <c r="AA14" s="7">
        <f>$B14 * IFERROR(VLOOKUP("industry|NOx|Minor restricted activity days", US_national_yearly!$D:$AM, 35, FALSE) / VLOOKUP("industry|NOx|Minor restricted activity days", US_national_yearly!$D:$AM, 10, FALSE), 1)</f>
        <v>1.4449086945599794</v>
      </c>
      <c r="AB14" s="7">
        <f>$B14 * IFERROR(VLOOKUP("industry|NOx|Minor restricted activity days", US_national_yearly!$D:$AM, 36, FALSE) / VLOOKUP("industry|NOx|Minor restricted activity days", US_national_yearly!$D:$AM, 10, FALSE), 1)</f>
        <v>1.4530980126977968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0.21420056483431907</v>
      </c>
      <c r="C15" s="7">
        <f>$B15 * IFERROR(VLOOKUP("industry|NOx|Work loss days", US_national_yearly!$D:$AM, 11, FALSE) / VLOOKUP("industry|NOx|Work loss days", US_national_yearly!$D:$AM, 10, FALSE), 1)</f>
        <v>0.21466466824591465</v>
      </c>
      <c r="D15" s="7">
        <f>$B15 * IFERROR(VLOOKUP("industry|NOx|Work loss days", US_national_yearly!$D:$AM, 12, FALSE) / VLOOKUP("industry|NOx|Work loss days", US_national_yearly!$D:$AM, 10, FALSE), 1)</f>
        <v>0.21512877165751013</v>
      </c>
      <c r="E15" s="7">
        <f>$B15 * IFERROR(VLOOKUP("industry|NOx|Work loss days", US_national_yearly!$D:$AM, 13, FALSE) / VLOOKUP("industry|NOx|Work loss days", US_national_yearly!$D:$AM, 10, FALSE), 1)</f>
        <v>0.21559287506910571</v>
      </c>
      <c r="F15" s="7">
        <f>$B15 * IFERROR(VLOOKUP("industry|NOx|Work loss days", US_national_yearly!$D:$AM, 14, FALSE) / VLOOKUP("industry|NOx|Work loss days", US_national_yearly!$D:$AM, 10, FALSE), 1)</f>
        <v>0.21605697848070127</v>
      </c>
      <c r="G15" s="7">
        <f>$B15 * IFERROR(VLOOKUP("industry|NOx|Work loss days", US_national_yearly!$D:$AM, 15, FALSE) / VLOOKUP("industry|NOx|Work loss days", US_national_yearly!$D:$AM, 10, FALSE), 1)</f>
        <v>0.21673584537134422</v>
      </c>
      <c r="H15" s="7">
        <f>$B15 * IFERROR(VLOOKUP("industry|NOx|Work loss days", US_national_yearly!$D:$AM, 16, FALSE) / VLOOKUP("industry|NOx|Work loss days", US_national_yearly!$D:$AM, 10, FALSE), 1)</f>
        <v>0.21741471226198719</v>
      </c>
      <c r="I15" s="7">
        <f>$B15 * IFERROR(VLOOKUP("industry|NOx|Work loss days", US_national_yearly!$D:$AM, 17, FALSE) / VLOOKUP("industry|NOx|Work loss days", US_national_yearly!$D:$AM, 10, FALSE), 1)</f>
        <v>0.21851769882945676</v>
      </c>
      <c r="J15" s="7">
        <f>$B15 * IFERROR(VLOOKUP("industry|NOx|Work loss days", US_national_yearly!$D:$AM, 18, FALSE) / VLOOKUP("industry|NOx|Work loss days", US_national_yearly!$D:$AM, 10, FALSE), 1)</f>
        <v>0.21962068539692631</v>
      </c>
      <c r="K15" s="7">
        <f>$B15 * IFERROR(VLOOKUP("industry|NOx|Work loss days", US_national_yearly!$D:$AM, 19, FALSE) / VLOOKUP("industry|NOx|Work loss days", US_national_yearly!$D:$AM, 10, FALSE), 1)</f>
        <v>0.22072367196439588</v>
      </c>
      <c r="L15" s="7">
        <f>$B15 * IFERROR(VLOOKUP("industry|NOx|Work loss days", US_national_yearly!$D:$AM, 20, FALSE) / VLOOKUP("industry|NOx|Work loss days", US_national_yearly!$D:$AM, 10, FALSE), 1)</f>
        <v>0.22182665853186539</v>
      </c>
      <c r="M15" s="7">
        <f>$B15 * IFERROR(VLOOKUP("industry|NOx|Work loss days", US_national_yearly!$D:$AM, 21, FALSE) / VLOOKUP("industry|NOx|Work loss days", US_national_yearly!$D:$AM, 10, FALSE), 1)</f>
        <v>0.22292964509933499</v>
      </c>
      <c r="N15" s="7">
        <f>$B15 * IFERROR(VLOOKUP("industry|NOx|Work loss days", US_national_yearly!$D:$AM, 22, FALSE) / VLOOKUP("industry|NOx|Work loss days", US_national_yearly!$D:$AM, 10, FALSE), 1)</f>
        <v>0.22437210139786831</v>
      </c>
      <c r="O15" s="7">
        <f>$B15 * IFERROR(VLOOKUP("industry|NOx|Work loss days", US_national_yearly!$D:$AM, 23, FALSE) / VLOOKUP("industry|NOx|Work loss days", US_national_yearly!$D:$AM, 10, FALSE), 1)</f>
        <v>0.22581455769640166</v>
      </c>
      <c r="P15" s="7">
        <f>$B15 * IFERROR(VLOOKUP("industry|NOx|Work loss days", US_national_yearly!$D:$AM, 24, FALSE) / VLOOKUP("industry|NOx|Work loss days", US_national_yearly!$D:$AM, 10, FALSE), 1)</f>
        <v>0.22725701399493498</v>
      </c>
      <c r="Q15" s="7">
        <f>$B15 * IFERROR(VLOOKUP("industry|NOx|Work loss days", US_national_yearly!$D:$AM, 25, FALSE) / VLOOKUP("industry|NOx|Work loss days", US_national_yearly!$D:$AM, 10, FALSE), 1)</f>
        <v>0.22869947029346829</v>
      </c>
      <c r="R15" s="7">
        <f>$B15 * IFERROR(VLOOKUP("industry|NOx|Work loss days", US_national_yearly!$D:$AM, 26, FALSE) / VLOOKUP("industry|NOx|Work loss days", US_national_yearly!$D:$AM, 10, FALSE), 1)</f>
        <v>0.23014192659200164</v>
      </c>
      <c r="S15" s="7">
        <f>$B15 * IFERROR(VLOOKUP("industry|NOx|Work loss days", US_national_yearly!$D:$AM, 27, FALSE) / VLOOKUP("industry|NOx|Work loss days", US_national_yearly!$D:$AM, 10, FALSE), 1)</f>
        <v>0.23175450536143194</v>
      </c>
      <c r="T15" s="7">
        <f>$B15 * IFERROR(VLOOKUP("industry|NOx|Work loss days", US_national_yearly!$D:$AM, 28, FALSE) / VLOOKUP("industry|NOx|Work loss days", US_national_yearly!$D:$AM, 10, FALSE), 1)</f>
        <v>0.23336708413086227</v>
      </c>
      <c r="U15" s="7">
        <f>$B15 * IFERROR(VLOOKUP("industry|NOx|Work loss days", US_national_yearly!$D:$AM, 29, FALSE) / VLOOKUP("industry|NOx|Work loss days", US_national_yearly!$D:$AM, 10, FALSE), 1)</f>
        <v>0.2349796629002926</v>
      </c>
      <c r="V15" s="7">
        <f>$B15 * IFERROR(VLOOKUP("industry|NOx|Work loss days", US_national_yearly!$D:$AM, 30, FALSE) / VLOOKUP("industry|NOx|Work loss days", US_national_yearly!$D:$AM, 10, FALSE), 1)</f>
        <v>0.23659224166972287</v>
      </c>
      <c r="W15" s="7">
        <f>$B15 * IFERROR(VLOOKUP("industry|NOx|Work loss days", US_national_yearly!$D:$AM, 31, FALSE) / VLOOKUP("industry|NOx|Work loss days", US_national_yearly!$D:$AM, 10, FALSE), 1)</f>
        <v>0.23820482043915323</v>
      </c>
      <c r="X15" s="7">
        <f>$B15 * IFERROR(VLOOKUP("industry|NOx|Work loss days", US_national_yearly!$D:$AM, 32, FALSE) / VLOOKUP("industry|NOx|Work loss days", US_national_yearly!$D:$AM, 10, FALSE), 1)</f>
        <v>0.23960378876031285</v>
      </c>
      <c r="Y15" s="7">
        <f>$B15 * IFERROR(VLOOKUP("industry|NOx|Work loss days", US_national_yearly!$D:$AM, 33, FALSE) / VLOOKUP("industry|NOx|Work loss days", US_national_yearly!$D:$AM, 10, FALSE), 1)</f>
        <v>0.24100275708147251</v>
      </c>
      <c r="Z15" s="7">
        <f>$B15 * IFERROR(VLOOKUP("industry|NOx|Work loss days", US_national_yearly!$D:$AM, 34, FALSE) / VLOOKUP("industry|NOx|Work loss days", US_national_yearly!$D:$AM, 10, FALSE), 1)</f>
        <v>0.24240172540263216</v>
      </c>
      <c r="AA15" s="7">
        <f>$B15 * IFERROR(VLOOKUP("industry|NOx|Work loss days", US_national_yearly!$D:$AM, 35, FALSE) / VLOOKUP("industry|NOx|Work loss days", US_national_yearly!$D:$AM, 10, FALSE), 1)</f>
        <v>0.24380069372379179</v>
      </c>
      <c r="AB15" s="7">
        <f>$B15 * IFERROR(VLOOKUP("industry|NOx|Work loss days", US_national_yearly!$D:$AM, 36, FALSE) / VLOOKUP("industry|NOx|Work loss days", US_national_yearly!$D:$AM, 10, FALSE), 1)</f>
        <v>0.24519966204495144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5.9302025950977867E-4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6.1043291837715964E-4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6.2784557724454061E-4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6.4525823611192169E-4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6.6267089497930277E-4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6.7922030646922361E-4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6.9576971795914466E-4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7.097220693125908E-4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7.2367442066603694E-4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7.3762677201948297E-4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7.5157912337292911E-4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7.6553147472637514E-4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7.7426622082276905E-4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7.8300096691916274E-4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7.9173571301555644E-4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8.0047045911195024E-4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8.0920520520834382E-4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8.1323471537391638E-4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8.1726422553948894E-4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8.212937357050615E-4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8.2532324587063406E-4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8.2935275603620673E-4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8.3162940111854893E-4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8.3390604620089113E-4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8.3618269128323344E-4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8.3845933636557553E-4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8.4073598144791795E-4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2.8579855354590542E-3</v>
      </c>
      <c r="C2" s="7">
        <f>$B2 * IFERROR(VLOOKUP("industry|SO2|Premature mortality", US_national_yearly!$D:$AM, 11, FALSE) / VLOOKUP("industry|SO2|Premature mortality", US_national_yearly!$D:$AM, 10, FALSE), 1)</f>
        <v>2.8942159399986938E-3</v>
      </c>
      <c r="D2" s="7">
        <f>$B2 * IFERROR(VLOOKUP("industry|SO2|Premature mortality", US_national_yearly!$D:$AM, 12, FALSE) / VLOOKUP("industry|SO2|Premature mortality", US_national_yearly!$D:$AM, 10, FALSE), 1)</f>
        <v>2.9304463445383329E-3</v>
      </c>
      <c r="E2" s="7">
        <f>$B2 * IFERROR(VLOOKUP("industry|SO2|Premature mortality", US_national_yearly!$D:$AM, 13, FALSE) / VLOOKUP("industry|SO2|Premature mortality", US_national_yearly!$D:$AM, 10, FALSE), 1)</f>
        <v>2.9666767490779716E-3</v>
      </c>
      <c r="F2" s="7">
        <f>$B2 * IFERROR(VLOOKUP("industry|SO2|Premature mortality", US_national_yearly!$D:$AM, 14, FALSE) / VLOOKUP("industry|SO2|Premature mortality", US_national_yearly!$D:$AM, 10, FALSE), 1)</f>
        <v>3.0029071536176112E-3</v>
      </c>
      <c r="G2" s="7">
        <f>$B2 * IFERROR(VLOOKUP("industry|SO2|Premature mortality", US_national_yearly!$D:$AM, 15, FALSE) / VLOOKUP("industry|SO2|Premature mortality", US_national_yearly!$D:$AM, 10, FALSE), 1)</f>
        <v>3.0727399401448128E-3</v>
      </c>
      <c r="H2" s="7">
        <f>$B2 * IFERROR(VLOOKUP("industry|SO2|Premature mortality", US_national_yearly!$D:$AM, 16, FALSE) / VLOOKUP("industry|SO2|Premature mortality", US_national_yearly!$D:$AM, 10, FALSE), 1)</f>
        <v>3.142572726672014E-3</v>
      </c>
      <c r="I2" s="7">
        <f>$B2 * IFERROR(VLOOKUP("industry|SO2|Premature mortality", US_national_yearly!$D:$AM, 17, FALSE) / VLOOKUP("industry|SO2|Premature mortality", US_national_yearly!$D:$AM, 10, FALSE), 1)</f>
        <v>3.188813953977698E-3</v>
      </c>
      <c r="J2" s="7">
        <f>$B2 * IFERROR(VLOOKUP("industry|SO2|Premature mortality", US_national_yearly!$D:$AM, 18, FALSE) / VLOOKUP("industry|SO2|Premature mortality", US_national_yearly!$D:$AM, 10, FALSE), 1)</f>
        <v>3.2350551812833817E-3</v>
      </c>
      <c r="K2" s="7">
        <f>$B2 * IFERROR(VLOOKUP("industry|SO2|Premature mortality", US_national_yearly!$D:$AM, 19, FALSE) / VLOOKUP("industry|SO2|Premature mortality", US_national_yearly!$D:$AM, 10, FALSE), 1)</f>
        <v>3.2812964085890653E-3</v>
      </c>
      <c r="L2" s="7">
        <f>$B2 * IFERROR(VLOOKUP("industry|SO2|Premature mortality", US_national_yearly!$D:$AM, 20, FALSE) / VLOOKUP("industry|SO2|Premature mortality", US_national_yearly!$D:$AM, 10, FALSE), 1)</f>
        <v>3.3275376358947494E-3</v>
      </c>
      <c r="M2" s="7">
        <f>$B2 * IFERROR(VLOOKUP("industry|SO2|Premature mortality", US_national_yearly!$D:$AM, 21, FALSE) / VLOOKUP("industry|SO2|Premature mortality", US_national_yearly!$D:$AM, 10, FALSE), 1)</f>
        <v>3.373778863200433E-3</v>
      </c>
      <c r="N2" s="7">
        <f>$B2 * IFERROR(VLOOKUP("industry|SO2|Premature mortality", US_national_yearly!$D:$AM, 22, FALSE) / VLOOKUP("industry|SO2|Premature mortality", US_national_yearly!$D:$AM, 10, FALSE), 1)</f>
        <v>3.4099504973306338E-3</v>
      </c>
      <c r="O2" s="7">
        <f>$B2 * IFERROR(VLOOKUP("industry|SO2|Premature mortality", US_national_yearly!$D:$AM, 23, FALSE) / VLOOKUP("industry|SO2|Premature mortality", US_national_yearly!$D:$AM, 10, FALSE), 1)</f>
        <v>3.4461221314608347E-3</v>
      </c>
      <c r="P2" s="7">
        <f>$B2 * IFERROR(VLOOKUP("industry|SO2|Premature mortality", US_national_yearly!$D:$AM, 24, FALSE) / VLOOKUP("industry|SO2|Premature mortality", US_national_yearly!$D:$AM, 10, FALSE), 1)</f>
        <v>3.4822937655910355E-3</v>
      </c>
      <c r="Q2" s="7">
        <f>$B2 * IFERROR(VLOOKUP("industry|SO2|Premature mortality", US_national_yearly!$D:$AM, 25, FALSE) / VLOOKUP("industry|SO2|Premature mortality", US_national_yearly!$D:$AM, 10, FALSE), 1)</f>
        <v>3.5184653997212363E-3</v>
      </c>
      <c r="R2" s="7">
        <f>$B2 * IFERROR(VLOOKUP("industry|SO2|Premature mortality", US_national_yearly!$D:$AM, 26, FALSE) / VLOOKUP("industry|SO2|Premature mortality", US_national_yearly!$D:$AM, 10, FALSE), 1)</f>
        <v>3.5546370338514371E-3</v>
      </c>
      <c r="S2" s="7">
        <f>$B2 * IFERROR(VLOOKUP("industry|SO2|Premature mortality", US_national_yearly!$D:$AM, 27, FALSE) / VLOOKUP("industry|SO2|Premature mortality", US_national_yearly!$D:$AM, 10, FALSE), 1)</f>
        <v>3.5741677235616902E-3</v>
      </c>
      <c r="T2" s="7">
        <f>$B2 * IFERROR(VLOOKUP("industry|SO2|Premature mortality", US_national_yearly!$D:$AM, 28, FALSE) / VLOOKUP("industry|SO2|Premature mortality", US_national_yearly!$D:$AM, 10, FALSE), 1)</f>
        <v>3.5936984132719438E-3</v>
      </c>
      <c r="U2" s="7">
        <f>$B2 * IFERROR(VLOOKUP("industry|SO2|Premature mortality", US_national_yearly!$D:$AM, 29, FALSE) / VLOOKUP("industry|SO2|Premature mortality", US_national_yearly!$D:$AM, 10, FALSE), 1)</f>
        <v>3.6132291029821982E-3</v>
      </c>
      <c r="V2" s="7">
        <f>$B2 * IFERROR(VLOOKUP("industry|SO2|Premature mortality", US_national_yearly!$D:$AM, 30, FALSE) / VLOOKUP("industry|SO2|Premature mortality", US_national_yearly!$D:$AM, 10, FALSE), 1)</f>
        <v>3.6327597926924518E-3</v>
      </c>
      <c r="W2" s="7">
        <f>$B2 * IFERROR(VLOOKUP("industry|SO2|Premature mortality", US_national_yearly!$D:$AM, 31, FALSE) / VLOOKUP("industry|SO2|Premature mortality", US_national_yearly!$D:$AM, 10, FALSE), 1)</f>
        <v>3.6522904824027058E-3</v>
      </c>
      <c r="X2" s="7">
        <f>$B2 * IFERROR(VLOOKUP("industry|SO2|Premature mortality", US_national_yearly!$D:$AM, 32, FALSE) / VLOOKUP("industry|SO2|Premature mortality", US_national_yearly!$D:$AM, 10, FALSE), 1)</f>
        <v>3.6564940827860026E-3</v>
      </c>
      <c r="Y2" s="7">
        <f>$B2 * IFERROR(VLOOKUP("industry|SO2|Premature mortality", US_national_yearly!$D:$AM, 33, FALSE) / VLOOKUP("industry|SO2|Premature mortality", US_national_yearly!$D:$AM, 10, FALSE), 1)</f>
        <v>3.6606976831692994E-3</v>
      </c>
      <c r="Z2" s="7">
        <f>$B2 * IFERROR(VLOOKUP("industry|SO2|Premature mortality", US_national_yearly!$D:$AM, 34, FALSE) / VLOOKUP("industry|SO2|Premature mortality", US_national_yearly!$D:$AM, 10, FALSE), 1)</f>
        <v>3.6649012835525971E-3</v>
      </c>
      <c r="AA2" s="7">
        <f>$B2 * IFERROR(VLOOKUP("industry|SO2|Premature mortality", US_national_yearly!$D:$AM, 35, FALSE) / VLOOKUP("industry|SO2|Premature mortality", US_national_yearly!$D:$AM, 10, FALSE), 1)</f>
        <v>3.669104883935894E-3</v>
      </c>
      <c r="AB2" s="7">
        <f>$B2 * IFERROR(VLOOKUP("industry|SO2|Premature mortality", US_national_yearly!$D:$AM, 36, FALSE) / VLOOKUP("industry|SO2|Premature mortality", US_national_yearly!$D:$AM, 10, FALSE), 1)</f>
        <v>3.6733084843191908E-3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5.3434801187747326E-6</v>
      </c>
      <c r="C3" s="7">
        <f>$B3 * IFERROR(VLOOKUP("industry|SO2|Infant mortality", US_national_yearly!$D:$AM, 11, FALSE) / VLOOKUP("industry|SO2|Infant mortality", US_national_yearly!$D:$AM, 10, FALSE), 1)</f>
        <v>5.2975097472410414E-6</v>
      </c>
      <c r="D3" s="7">
        <f>$B3 * IFERROR(VLOOKUP("industry|SO2|Infant mortality", US_national_yearly!$D:$AM, 12, FALSE) / VLOOKUP("industry|SO2|Infant mortality", US_national_yearly!$D:$AM, 10, FALSE), 1)</f>
        <v>5.2515393757073511E-6</v>
      </c>
      <c r="E3" s="7">
        <f>$B3 * IFERROR(VLOOKUP("industry|SO2|Infant mortality", US_national_yearly!$D:$AM, 13, FALSE) / VLOOKUP("industry|SO2|Infant mortality", US_national_yearly!$D:$AM, 10, FALSE), 1)</f>
        <v>5.2055690041736599E-6</v>
      </c>
      <c r="F3" s="7">
        <f>$B3 * IFERROR(VLOOKUP("industry|SO2|Infant mortality", US_national_yearly!$D:$AM, 14, FALSE) / VLOOKUP("industry|SO2|Infant mortality", US_national_yearly!$D:$AM, 10, FALSE), 1)</f>
        <v>5.1595986326399688E-6</v>
      </c>
      <c r="G3" s="7">
        <f>$B3 * IFERROR(VLOOKUP("industry|SO2|Infant mortality", US_national_yearly!$D:$AM, 15, FALSE) / VLOOKUP("industry|SO2|Infant mortality", US_national_yearly!$D:$AM, 10, FALSE), 1)</f>
        <v>3.4347362771513043E-6</v>
      </c>
      <c r="H3" s="7">
        <f>$B3 * IFERROR(VLOOKUP("industry|SO2|Infant mortality", US_national_yearly!$D:$AM, 16, FALSE) / VLOOKUP("industry|SO2|Infant mortality", US_national_yearly!$D:$AM, 10, FALSE), 1)</f>
        <v>1.7098739216626399E-6</v>
      </c>
      <c r="I3" s="7">
        <f>$B3 * IFERROR(VLOOKUP("industry|SO2|Infant mortality", US_national_yearly!$D:$AM, 17, FALSE) / VLOOKUP("industry|SO2|Infant mortality", US_national_yearly!$D:$AM, 10, FALSE), 1)</f>
        <v>1.6990163680964809E-6</v>
      </c>
      <c r="J3" s="7">
        <f>$B3 * IFERROR(VLOOKUP("industry|SO2|Infant mortality", US_national_yearly!$D:$AM, 18, FALSE) / VLOOKUP("industry|SO2|Infant mortality", US_national_yearly!$D:$AM, 10, FALSE), 1)</f>
        <v>1.6881588145303221E-6</v>
      </c>
      <c r="K3" s="7">
        <f>$B3 * IFERROR(VLOOKUP("industry|SO2|Infant mortality", US_national_yearly!$D:$AM, 19, FALSE) / VLOOKUP("industry|SO2|Infant mortality", US_national_yearly!$D:$AM, 10, FALSE), 1)</f>
        <v>1.6773012609641633E-6</v>
      </c>
      <c r="L3" s="7">
        <f>$B3 * IFERROR(VLOOKUP("industry|SO2|Infant mortality", US_national_yearly!$D:$AM, 20, FALSE) / VLOOKUP("industry|SO2|Infant mortality", US_national_yearly!$D:$AM, 10, FALSE), 1)</f>
        <v>1.6664437073980044E-6</v>
      </c>
      <c r="M3" s="7">
        <f>$B3 * IFERROR(VLOOKUP("industry|SO2|Infant mortality", US_national_yearly!$D:$AM, 21, FALSE) / VLOOKUP("industry|SO2|Infant mortality", US_national_yearly!$D:$AM, 10, FALSE), 1)</f>
        <v>1.6555861538318456E-6</v>
      </c>
      <c r="N3" s="7">
        <f>$B3 * IFERROR(VLOOKUP("industry|SO2|Infant mortality", US_national_yearly!$D:$AM, 22, FALSE) / VLOOKUP("industry|SO2|Infant mortality", US_national_yearly!$D:$AM, 10, FALSE), 1)</f>
        <v>1.6487045853733954E-6</v>
      </c>
      <c r="O3" s="7">
        <f>$B3 * IFERROR(VLOOKUP("industry|SO2|Infant mortality", US_national_yearly!$D:$AM, 23, FALSE) / VLOOKUP("industry|SO2|Infant mortality", US_national_yearly!$D:$AM, 10, FALSE), 1)</f>
        <v>1.6418230169149455E-6</v>
      </c>
      <c r="P3" s="7">
        <f>$B3 * IFERROR(VLOOKUP("industry|SO2|Infant mortality", US_national_yearly!$D:$AM, 24, FALSE) / VLOOKUP("industry|SO2|Infant mortality", US_national_yearly!$D:$AM, 10, FALSE), 1)</f>
        <v>1.6349414484564955E-6</v>
      </c>
      <c r="Q3" s="7">
        <f>$B3 * IFERROR(VLOOKUP("industry|SO2|Infant mortality", US_national_yearly!$D:$AM, 25, FALSE) / VLOOKUP("industry|SO2|Infant mortality", US_national_yearly!$D:$AM, 10, FALSE), 1)</f>
        <v>1.6280598799980453E-6</v>
      </c>
      <c r="R3" s="7">
        <f>$B3 * IFERROR(VLOOKUP("industry|SO2|Infant mortality", US_national_yearly!$D:$AM, 26, FALSE) / VLOOKUP("industry|SO2|Infant mortality", US_national_yearly!$D:$AM, 10, FALSE), 1)</f>
        <v>1.6211783115395954E-6</v>
      </c>
      <c r="S3" s="7">
        <f>$B3 * IFERROR(VLOOKUP("industry|SO2|Infant mortality", US_national_yearly!$D:$AM, 27, FALSE) / VLOOKUP("industry|SO2|Infant mortality", US_national_yearly!$D:$AM, 10, FALSE), 1)</f>
        <v>1.6126142780958138E-6</v>
      </c>
      <c r="T3" s="7">
        <f>$B3 * IFERROR(VLOOKUP("industry|SO2|Infant mortality", US_national_yearly!$D:$AM, 28, FALSE) / VLOOKUP("industry|SO2|Infant mortality", US_national_yearly!$D:$AM, 10, FALSE), 1)</f>
        <v>1.6040502446520319E-6</v>
      </c>
      <c r="U3" s="7">
        <f>$B3 * IFERROR(VLOOKUP("industry|SO2|Infant mortality", US_national_yearly!$D:$AM, 29, FALSE) / VLOOKUP("industry|SO2|Infant mortality", US_national_yearly!$D:$AM, 10, FALSE), 1)</f>
        <v>1.5954862112082503E-6</v>
      </c>
      <c r="V3" s="7">
        <f>$B3 * IFERROR(VLOOKUP("industry|SO2|Infant mortality", US_national_yearly!$D:$AM, 30, FALSE) / VLOOKUP("industry|SO2|Infant mortality", US_national_yearly!$D:$AM, 10, FALSE), 1)</f>
        <v>1.5869221777644687E-6</v>
      </c>
      <c r="W3" s="7">
        <f>$B3 * IFERROR(VLOOKUP("industry|SO2|Infant mortality", US_national_yearly!$D:$AM, 31, FALSE) / VLOOKUP("industry|SO2|Infant mortality", US_national_yearly!$D:$AM, 10, FALSE), 1)</f>
        <v>1.5783581443206871E-6</v>
      </c>
      <c r="X3" s="7">
        <f>$B3 * IFERROR(VLOOKUP("industry|SO2|Infant mortality", US_national_yearly!$D:$AM, 32, FALSE) / VLOOKUP("industry|SO2|Infant mortality", US_national_yearly!$D:$AM, 10, FALSE), 1)</f>
        <v>1.5690515956555097E-6</v>
      </c>
      <c r="Y3" s="7">
        <f>$B3 * IFERROR(VLOOKUP("industry|SO2|Infant mortality", US_national_yearly!$D:$AM, 33, FALSE) / VLOOKUP("industry|SO2|Infant mortality", US_national_yearly!$D:$AM, 10, FALSE), 1)</f>
        <v>1.5597450469903323E-6</v>
      </c>
      <c r="Z3" s="7">
        <f>$B3 * IFERROR(VLOOKUP("industry|SO2|Infant mortality", US_national_yearly!$D:$AM, 34, FALSE) / VLOOKUP("industry|SO2|Infant mortality", US_national_yearly!$D:$AM, 10, FALSE), 1)</f>
        <v>1.5504384983251549E-6</v>
      </c>
      <c r="AA3" s="7">
        <f>$B3 * IFERROR(VLOOKUP("industry|SO2|Infant mortality", US_national_yearly!$D:$AM, 35, FALSE) / VLOOKUP("industry|SO2|Infant mortality", US_national_yearly!$D:$AM, 10, FALSE), 1)</f>
        <v>1.5411319496599775E-6</v>
      </c>
      <c r="AB3" s="7">
        <f>$B3 * IFERROR(VLOOKUP("industry|SO2|Infant mortality", US_national_yearly!$D:$AM, 36, FALSE) / VLOOKUP("industry|SO2|Infant mortality", US_national_yearly!$D:$AM, 10, FALSE), 1)</f>
        <v>1.5318254009948003E-6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5.8347031171274259E-3</v>
      </c>
      <c r="C6" s="7">
        <f>$B6 * IFERROR(VLOOKUP("industry|SO2|Asthma symptoms cough", US_national_yearly!$D:$AM, 11, FALSE) / VLOOKUP("industry|SO2|Asthma symptoms cough", US_national_yearly!$D:$AM, 10, FALSE), 1)</f>
        <v>5.8347031171274259E-3</v>
      </c>
      <c r="D6" s="7">
        <f>$B6 * IFERROR(VLOOKUP("industry|SO2|Asthma symptoms cough", US_national_yearly!$D:$AM, 12, FALSE) / VLOOKUP("industry|SO2|Asthma symptoms cough", US_national_yearly!$D:$AM, 10, FALSE), 1)</f>
        <v>5.8347031171274259E-3</v>
      </c>
      <c r="E6" s="7">
        <f>$B6 * IFERROR(VLOOKUP("industry|SO2|Asthma symptoms cough", US_national_yearly!$D:$AM, 13, FALSE) / VLOOKUP("industry|SO2|Asthma symptoms cough", US_national_yearly!$D:$AM, 10, FALSE), 1)</f>
        <v>5.8347031171274259E-3</v>
      </c>
      <c r="F6" s="7">
        <f>$B6 * IFERROR(VLOOKUP("industry|SO2|Asthma symptoms cough", US_national_yearly!$D:$AM, 14, FALSE) / VLOOKUP("industry|SO2|Asthma symptoms cough", US_national_yearly!$D:$AM, 10, FALSE), 1)</f>
        <v>5.8347031171274259E-3</v>
      </c>
      <c r="G6" s="7">
        <f>$B6 * IFERROR(VLOOKUP("industry|SO2|Asthma symptoms cough", US_national_yearly!$D:$AM, 15, FALSE) / VLOOKUP("industry|SO2|Asthma symptoms cough", US_national_yearly!$D:$AM, 10, FALSE), 1)</f>
        <v>5.8347031171274259E-3</v>
      </c>
      <c r="H6" s="7">
        <f>$B6 * IFERROR(VLOOKUP("industry|SO2|Asthma symptoms cough", US_national_yearly!$D:$AM, 16, FALSE) / VLOOKUP("industry|SO2|Asthma symptoms cough", US_national_yearly!$D:$AM, 10, FALSE), 1)</f>
        <v>5.8347031171274259E-3</v>
      </c>
      <c r="I6" s="7">
        <f>$B6 * IFERROR(VLOOKUP("industry|SO2|Asthma symptoms cough", US_national_yearly!$D:$AM, 17, FALSE) / VLOOKUP("industry|SO2|Asthma symptoms cough", US_national_yearly!$D:$AM, 10, FALSE), 1)</f>
        <v>5.8347031171274259E-3</v>
      </c>
      <c r="J6" s="7">
        <f>$B6 * IFERROR(VLOOKUP("industry|SO2|Asthma symptoms cough", US_national_yearly!$D:$AM, 18, FALSE) / VLOOKUP("industry|SO2|Asthma symptoms cough", US_national_yearly!$D:$AM, 10, FALSE), 1)</f>
        <v>5.8347031171274259E-3</v>
      </c>
      <c r="K6" s="7">
        <f>$B6 * IFERROR(VLOOKUP("industry|SO2|Asthma symptoms cough", US_national_yearly!$D:$AM, 19, FALSE) / VLOOKUP("industry|SO2|Asthma symptoms cough", US_national_yearly!$D:$AM, 10, FALSE), 1)</f>
        <v>5.8347031171274259E-3</v>
      </c>
      <c r="L6" s="7">
        <f>$B6 * IFERROR(VLOOKUP("industry|SO2|Asthma symptoms cough", US_national_yearly!$D:$AM, 20, FALSE) / VLOOKUP("industry|SO2|Asthma symptoms cough", US_national_yearly!$D:$AM, 10, FALSE), 1)</f>
        <v>5.8347031171274259E-3</v>
      </c>
      <c r="M6" s="7">
        <f>$B6 * IFERROR(VLOOKUP("industry|SO2|Asthma symptoms cough", US_national_yearly!$D:$AM, 21, FALSE) / VLOOKUP("industry|SO2|Asthma symptoms cough", US_national_yearly!$D:$AM, 10, FALSE), 1)</f>
        <v>5.8347031171274259E-3</v>
      </c>
      <c r="N6" s="7">
        <f>$B6 * IFERROR(VLOOKUP("industry|SO2|Asthma symptoms cough", US_national_yearly!$D:$AM, 22, FALSE) / VLOOKUP("industry|SO2|Asthma symptoms cough", US_national_yearly!$D:$AM, 10, FALSE), 1)</f>
        <v>5.8347031171274259E-3</v>
      </c>
      <c r="O6" s="7">
        <f>$B6 * IFERROR(VLOOKUP("industry|SO2|Asthma symptoms cough", US_national_yearly!$D:$AM, 23, FALSE) / VLOOKUP("industry|SO2|Asthma symptoms cough", US_national_yearly!$D:$AM, 10, FALSE), 1)</f>
        <v>5.8347031171274259E-3</v>
      </c>
      <c r="P6" s="7">
        <f>$B6 * IFERROR(VLOOKUP("industry|SO2|Asthma symptoms cough", US_national_yearly!$D:$AM, 24, FALSE) / VLOOKUP("industry|SO2|Asthma symptoms cough", US_national_yearly!$D:$AM, 10, FALSE), 1)</f>
        <v>5.8347031171274259E-3</v>
      </c>
      <c r="Q6" s="7">
        <f>$B6 * IFERROR(VLOOKUP("industry|SO2|Asthma symptoms cough", US_national_yearly!$D:$AM, 25, FALSE) / VLOOKUP("industry|SO2|Asthma symptoms cough", US_national_yearly!$D:$AM, 10, FALSE), 1)</f>
        <v>5.8347031171274259E-3</v>
      </c>
      <c r="R6" s="7">
        <f>$B6 * IFERROR(VLOOKUP("industry|SO2|Asthma symptoms cough", US_national_yearly!$D:$AM, 26, FALSE) / VLOOKUP("industry|SO2|Asthma symptoms cough", US_national_yearly!$D:$AM, 10, FALSE), 1)</f>
        <v>5.8347031171274259E-3</v>
      </c>
      <c r="S6" s="7">
        <f>$B6 * IFERROR(VLOOKUP("industry|SO2|Asthma symptoms cough", US_national_yearly!$D:$AM, 27, FALSE) / VLOOKUP("industry|SO2|Asthma symptoms cough", US_national_yearly!$D:$AM, 10, FALSE), 1)</f>
        <v>5.8347031171274259E-3</v>
      </c>
      <c r="T6" s="7">
        <f>$B6 * IFERROR(VLOOKUP("industry|SO2|Asthma symptoms cough", US_national_yearly!$D:$AM, 28, FALSE) / VLOOKUP("industry|SO2|Asthma symptoms cough", US_national_yearly!$D:$AM, 10, FALSE), 1)</f>
        <v>5.8347031171274259E-3</v>
      </c>
      <c r="U6" s="7">
        <f>$B6 * IFERROR(VLOOKUP("industry|SO2|Asthma symptoms cough", US_national_yearly!$D:$AM, 29, FALSE) / VLOOKUP("industry|SO2|Asthma symptoms cough", US_national_yearly!$D:$AM, 10, FALSE), 1)</f>
        <v>5.8347031171274259E-3</v>
      </c>
      <c r="V6" s="7">
        <f>$B6 * IFERROR(VLOOKUP("industry|SO2|Asthma symptoms cough", US_national_yearly!$D:$AM, 30, FALSE) / VLOOKUP("industry|SO2|Asthma symptoms cough", US_national_yearly!$D:$AM, 10, FALSE), 1)</f>
        <v>5.8347031171274259E-3</v>
      </c>
      <c r="W6" s="7">
        <f>$B6 * IFERROR(VLOOKUP("industry|SO2|Asthma symptoms cough", US_national_yearly!$D:$AM, 31, FALSE) / VLOOKUP("industry|SO2|Asthma symptoms cough", US_national_yearly!$D:$AM, 10, FALSE), 1)</f>
        <v>5.8347031171274259E-3</v>
      </c>
      <c r="X6" s="7">
        <f>$B6 * IFERROR(VLOOKUP("industry|SO2|Asthma symptoms cough", US_national_yearly!$D:$AM, 32, FALSE) / VLOOKUP("industry|SO2|Asthma symptoms cough", US_national_yearly!$D:$AM, 10, FALSE), 1)</f>
        <v>5.8347031171274259E-3</v>
      </c>
      <c r="Y6" s="7">
        <f>$B6 * IFERROR(VLOOKUP("industry|SO2|Asthma symptoms cough", US_national_yearly!$D:$AM, 33, FALSE) / VLOOKUP("industry|SO2|Asthma symptoms cough", US_national_yearly!$D:$AM, 10, FALSE), 1)</f>
        <v>5.8347031171274259E-3</v>
      </c>
      <c r="Z6" s="7">
        <f>$B6 * IFERROR(VLOOKUP("industry|SO2|Asthma symptoms cough", US_national_yearly!$D:$AM, 34, FALSE) / VLOOKUP("industry|SO2|Asthma symptoms cough", US_national_yearly!$D:$AM, 10, FALSE), 1)</f>
        <v>5.8347031171274259E-3</v>
      </c>
      <c r="AA6" s="7">
        <f>$B6 * IFERROR(VLOOKUP("industry|SO2|Asthma symptoms cough", US_national_yearly!$D:$AM, 35, FALSE) / VLOOKUP("industry|SO2|Asthma symptoms cough", US_national_yearly!$D:$AM, 10, FALSE), 1)</f>
        <v>5.8347031171274259E-3</v>
      </c>
      <c r="AB6" s="7">
        <f>$B6 * IFERROR(VLOOKUP("industry|SO2|Asthma symptoms cough", US_national_yearly!$D:$AM, 36, FALSE) / VLOOKUP("industry|SO2|Asthma symptoms cough", US_national_yearly!$D:$AM, 10, FALSE), 1)</f>
        <v>5.8347031171274259E-3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7.8572289673574137E-3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7.8572289673574137E-3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7.8572289673574137E-3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7.8572289673574137E-3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7.8572289673574137E-3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7.8572289673574137E-3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7.8572289673574137E-3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7.8572289673574137E-3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7.8572289673574137E-3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7.8572289673574137E-3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7.8572289673574137E-3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7.8572289673574137E-3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7.8572289673574137E-3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7.8572289673574137E-3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7.8572289673574137E-3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7.8572289673574137E-3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7.8572289673574137E-3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7.8572289673574137E-3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7.8572289673574137E-3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7.8572289673574137E-3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7.8572289673574137E-3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7.8572289673574137E-3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7.8572289673574137E-3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7.8572289673574137E-3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7.8572289673574137E-3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7.8572289673574137E-3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7.8572289673574137E-3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1.2004676254754543E-2</v>
      </c>
      <c r="C8" s="7">
        <f>$B8 * IFERROR(VLOOKUP("industry|SO2|Asthma symptoms wheeze", US_national_yearly!$D:$AM, 11, FALSE) / VLOOKUP("industry|SO2|Asthma symptoms wheeze", US_national_yearly!$D:$AM, 10, FALSE), 1)</f>
        <v>1.2004676254754543E-2</v>
      </c>
      <c r="D8" s="7">
        <f>$B8 * IFERROR(VLOOKUP("industry|SO2|Asthma symptoms wheeze", US_national_yearly!$D:$AM, 12, FALSE) / VLOOKUP("industry|SO2|Asthma symptoms wheeze", US_national_yearly!$D:$AM, 10, FALSE), 1)</f>
        <v>1.2004676254754543E-2</v>
      </c>
      <c r="E8" s="7">
        <f>$B8 * IFERROR(VLOOKUP("industry|SO2|Asthma symptoms wheeze", US_national_yearly!$D:$AM, 13, FALSE) / VLOOKUP("industry|SO2|Asthma symptoms wheeze", US_national_yearly!$D:$AM, 10, FALSE), 1)</f>
        <v>1.2004676254754543E-2</v>
      </c>
      <c r="F8" s="7">
        <f>$B8 * IFERROR(VLOOKUP("industry|SO2|Asthma symptoms wheeze", US_national_yearly!$D:$AM, 14, FALSE) / VLOOKUP("industry|SO2|Asthma symptoms wheeze", US_national_yearly!$D:$AM, 10, FALSE), 1)</f>
        <v>1.2004676254754543E-2</v>
      </c>
      <c r="G8" s="7">
        <f>$B8 * IFERROR(VLOOKUP("industry|SO2|Asthma symptoms wheeze", US_national_yearly!$D:$AM, 15, FALSE) / VLOOKUP("industry|SO2|Asthma symptoms wheeze", US_national_yearly!$D:$AM, 10, FALSE), 1)</f>
        <v>1.2004676254754543E-2</v>
      </c>
      <c r="H8" s="7">
        <f>$B8 * IFERROR(VLOOKUP("industry|SO2|Asthma symptoms wheeze", US_national_yearly!$D:$AM, 16, FALSE) / VLOOKUP("industry|SO2|Asthma symptoms wheeze", US_national_yearly!$D:$AM, 10, FALSE), 1)</f>
        <v>1.2004676254754543E-2</v>
      </c>
      <c r="I8" s="7">
        <f>$B8 * IFERROR(VLOOKUP("industry|SO2|Asthma symptoms wheeze", US_national_yearly!$D:$AM, 17, FALSE) / VLOOKUP("industry|SO2|Asthma symptoms wheeze", US_national_yearly!$D:$AM, 10, FALSE), 1)</f>
        <v>1.2004676254754543E-2</v>
      </c>
      <c r="J8" s="7">
        <f>$B8 * IFERROR(VLOOKUP("industry|SO2|Asthma symptoms wheeze", US_national_yearly!$D:$AM, 18, FALSE) / VLOOKUP("industry|SO2|Asthma symptoms wheeze", US_national_yearly!$D:$AM, 10, FALSE), 1)</f>
        <v>1.2004676254754543E-2</v>
      </c>
      <c r="K8" s="7">
        <f>$B8 * IFERROR(VLOOKUP("industry|SO2|Asthma symptoms wheeze", US_national_yearly!$D:$AM, 19, FALSE) / VLOOKUP("industry|SO2|Asthma symptoms wheeze", US_national_yearly!$D:$AM, 10, FALSE), 1)</f>
        <v>1.2004676254754543E-2</v>
      </c>
      <c r="L8" s="7">
        <f>$B8 * IFERROR(VLOOKUP("industry|SO2|Asthma symptoms wheeze", US_national_yearly!$D:$AM, 20, FALSE) / VLOOKUP("industry|SO2|Asthma symptoms wheeze", US_national_yearly!$D:$AM, 10, FALSE), 1)</f>
        <v>1.2004676254754543E-2</v>
      </c>
      <c r="M8" s="7">
        <f>$B8 * IFERROR(VLOOKUP("industry|SO2|Asthma symptoms wheeze", US_national_yearly!$D:$AM, 21, FALSE) / VLOOKUP("industry|SO2|Asthma symptoms wheeze", US_national_yearly!$D:$AM, 10, FALSE), 1)</f>
        <v>1.2004676254754543E-2</v>
      </c>
      <c r="N8" s="7">
        <f>$B8 * IFERROR(VLOOKUP("industry|SO2|Asthma symptoms wheeze", US_national_yearly!$D:$AM, 22, FALSE) / VLOOKUP("industry|SO2|Asthma symptoms wheeze", US_national_yearly!$D:$AM, 10, FALSE), 1)</f>
        <v>1.2004676254754543E-2</v>
      </c>
      <c r="O8" s="7">
        <f>$B8 * IFERROR(VLOOKUP("industry|SO2|Asthma symptoms wheeze", US_national_yearly!$D:$AM, 23, FALSE) / VLOOKUP("industry|SO2|Asthma symptoms wheeze", US_national_yearly!$D:$AM, 10, FALSE), 1)</f>
        <v>1.2004676254754543E-2</v>
      </c>
      <c r="P8" s="7">
        <f>$B8 * IFERROR(VLOOKUP("industry|SO2|Asthma symptoms wheeze", US_national_yearly!$D:$AM, 24, FALSE) / VLOOKUP("industry|SO2|Asthma symptoms wheeze", US_national_yearly!$D:$AM, 10, FALSE), 1)</f>
        <v>1.2004676254754543E-2</v>
      </c>
      <c r="Q8" s="7">
        <f>$B8 * IFERROR(VLOOKUP("industry|SO2|Asthma symptoms wheeze", US_national_yearly!$D:$AM, 25, FALSE) / VLOOKUP("industry|SO2|Asthma symptoms wheeze", US_national_yearly!$D:$AM, 10, FALSE), 1)</f>
        <v>1.2004676254754543E-2</v>
      </c>
      <c r="R8" s="7">
        <f>$B8 * IFERROR(VLOOKUP("industry|SO2|Asthma symptoms wheeze", US_national_yearly!$D:$AM, 26, FALSE) / VLOOKUP("industry|SO2|Asthma symptoms wheeze", US_national_yearly!$D:$AM, 10, FALSE), 1)</f>
        <v>1.2004676254754543E-2</v>
      </c>
      <c r="S8" s="7">
        <f>$B8 * IFERROR(VLOOKUP("industry|SO2|Asthma symptoms wheeze", US_national_yearly!$D:$AM, 27, FALSE) / VLOOKUP("industry|SO2|Asthma symptoms wheeze", US_national_yearly!$D:$AM, 10, FALSE), 1)</f>
        <v>1.2004676254754543E-2</v>
      </c>
      <c r="T8" s="7">
        <f>$B8 * IFERROR(VLOOKUP("industry|SO2|Asthma symptoms wheeze", US_national_yearly!$D:$AM, 28, FALSE) / VLOOKUP("industry|SO2|Asthma symptoms wheeze", US_national_yearly!$D:$AM, 10, FALSE), 1)</f>
        <v>1.2004676254754543E-2</v>
      </c>
      <c r="U8" s="7">
        <f>$B8 * IFERROR(VLOOKUP("industry|SO2|Asthma symptoms wheeze", US_national_yearly!$D:$AM, 29, FALSE) / VLOOKUP("industry|SO2|Asthma symptoms wheeze", US_national_yearly!$D:$AM, 10, FALSE), 1)</f>
        <v>1.2004676254754543E-2</v>
      </c>
      <c r="V8" s="7">
        <f>$B8 * IFERROR(VLOOKUP("industry|SO2|Asthma symptoms wheeze", US_national_yearly!$D:$AM, 30, FALSE) / VLOOKUP("industry|SO2|Asthma symptoms wheeze", US_national_yearly!$D:$AM, 10, FALSE), 1)</f>
        <v>1.2004676254754543E-2</v>
      </c>
      <c r="W8" s="7">
        <f>$B8 * IFERROR(VLOOKUP("industry|SO2|Asthma symptoms wheeze", US_national_yearly!$D:$AM, 31, FALSE) / VLOOKUP("industry|SO2|Asthma symptoms wheeze", US_national_yearly!$D:$AM, 10, FALSE), 1)</f>
        <v>1.2004676254754543E-2</v>
      </c>
      <c r="X8" s="7">
        <f>$B8 * IFERROR(VLOOKUP("industry|SO2|Asthma symptoms wheeze", US_national_yearly!$D:$AM, 32, FALSE) / VLOOKUP("industry|SO2|Asthma symptoms wheeze", US_national_yearly!$D:$AM, 10, FALSE), 1)</f>
        <v>1.2004676254754543E-2</v>
      </c>
      <c r="Y8" s="7">
        <f>$B8 * IFERROR(VLOOKUP("industry|SO2|Asthma symptoms wheeze", US_national_yearly!$D:$AM, 33, FALSE) / VLOOKUP("industry|SO2|Asthma symptoms wheeze", US_national_yearly!$D:$AM, 10, FALSE), 1)</f>
        <v>1.2004676254754543E-2</v>
      </c>
      <c r="Z8" s="7">
        <f>$B8 * IFERROR(VLOOKUP("industry|SO2|Asthma symptoms wheeze", US_national_yearly!$D:$AM, 34, FALSE) / VLOOKUP("industry|SO2|Asthma symptoms wheeze", US_national_yearly!$D:$AM, 10, FALSE), 1)</f>
        <v>1.2004676254754543E-2</v>
      </c>
      <c r="AA8" s="7">
        <f>$B8 * IFERROR(VLOOKUP("industry|SO2|Asthma symptoms wheeze", US_national_yearly!$D:$AM, 35, FALSE) / VLOOKUP("industry|SO2|Asthma symptoms wheeze", US_national_yearly!$D:$AM, 10, FALSE), 1)</f>
        <v>1.2004676254754543E-2</v>
      </c>
      <c r="AB8" s="7">
        <f>$B8 * IFERROR(VLOOKUP("industry|SO2|Asthma symptoms wheeze", US_national_yearly!$D:$AM, 36, FALSE) / VLOOKUP("industry|SO2|Asthma symptoms wheeze", US_national_yearly!$D:$AM, 10, FALSE), 1)</f>
        <v>1.2004676254754543E-2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2.7342671139223284E-4</v>
      </c>
      <c r="C12" s="7">
        <f>$B12 * IFERROR(VLOOKUP("industry|SO2|Respiratory hospital admissions", US_national_yearly!$D:$AM, 11, FALSE) / VLOOKUP("industry|SO2|Respiratory hospital admissions", US_national_yearly!$D:$AM, 10, FALSE), 1)</f>
        <v>2.7502846993529513E-4</v>
      </c>
      <c r="D12" s="7">
        <f>$B12 * IFERROR(VLOOKUP("industry|SO2|Respiratory hospital admissions", US_national_yearly!$D:$AM, 12, FALSE) / VLOOKUP("industry|SO2|Respiratory hospital admissions", US_national_yearly!$D:$AM, 10, FALSE), 1)</f>
        <v>2.7663022847835748E-4</v>
      </c>
      <c r="E12" s="7">
        <f>$B12 * IFERROR(VLOOKUP("industry|SO2|Respiratory hospital admissions", US_national_yearly!$D:$AM, 13, FALSE) / VLOOKUP("industry|SO2|Respiratory hospital admissions", US_national_yearly!$D:$AM, 10, FALSE), 1)</f>
        <v>2.7823198702141977E-4</v>
      </c>
      <c r="F12" s="7">
        <f>$B12 * IFERROR(VLOOKUP("industry|SO2|Respiratory hospital admissions", US_national_yearly!$D:$AM, 14, FALSE) / VLOOKUP("industry|SO2|Respiratory hospital admissions", US_national_yearly!$D:$AM, 10, FALSE), 1)</f>
        <v>2.7983374556448212E-4</v>
      </c>
      <c r="G12" s="7">
        <f>$B12 * IFERROR(VLOOKUP("industry|SO2|Respiratory hospital admissions", US_national_yearly!$D:$AM, 15, FALSE) / VLOOKUP("industry|SO2|Respiratory hospital admissions", US_national_yearly!$D:$AM, 10, FALSE), 1)</f>
        <v>2.8157997222408608E-4</v>
      </c>
      <c r="H12" s="7">
        <f>$B12 * IFERROR(VLOOKUP("industry|SO2|Respiratory hospital admissions", US_national_yearly!$D:$AM, 16, FALSE) / VLOOKUP("industry|SO2|Respiratory hospital admissions", US_national_yearly!$D:$AM, 10, FALSE), 1)</f>
        <v>2.8332619888368998E-4</v>
      </c>
      <c r="I12" s="7">
        <f>$B12 * IFERROR(VLOOKUP("industry|SO2|Respiratory hospital admissions", US_national_yearly!$D:$AM, 17, FALSE) / VLOOKUP("industry|SO2|Respiratory hospital admissions", US_national_yearly!$D:$AM, 10, FALSE), 1)</f>
        <v>2.8504127979416493E-4</v>
      </c>
      <c r="J12" s="7">
        <f>$B12 * IFERROR(VLOOKUP("industry|SO2|Respiratory hospital admissions", US_national_yearly!$D:$AM, 18, FALSE) / VLOOKUP("industry|SO2|Respiratory hospital admissions", US_national_yearly!$D:$AM, 10, FALSE), 1)</f>
        <v>2.8675636070463992E-4</v>
      </c>
      <c r="K12" s="7">
        <f>$B12 * IFERROR(VLOOKUP("industry|SO2|Respiratory hospital admissions", US_national_yearly!$D:$AM, 19, FALSE) / VLOOKUP("industry|SO2|Respiratory hospital admissions", US_national_yearly!$D:$AM, 10, FALSE), 1)</f>
        <v>2.8847144161511481E-4</v>
      </c>
      <c r="L12" s="7">
        <f>$B12 * IFERROR(VLOOKUP("industry|SO2|Respiratory hospital admissions", US_national_yearly!$D:$AM, 20, FALSE) / VLOOKUP("industry|SO2|Respiratory hospital admissions", US_national_yearly!$D:$AM, 10, FALSE), 1)</f>
        <v>2.9018652252558975E-4</v>
      </c>
      <c r="M12" s="7">
        <f>$B12 * IFERROR(VLOOKUP("industry|SO2|Respiratory hospital admissions", US_national_yearly!$D:$AM, 21, FALSE) / VLOOKUP("industry|SO2|Respiratory hospital admissions", US_national_yearly!$D:$AM, 10, FALSE), 1)</f>
        <v>2.9190160343606474E-4</v>
      </c>
      <c r="N12" s="7">
        <f>$B12 * IFERROR(VLOOKUP("industry|SO2|Respiratory hospital admissions", US_national_yearly!$D:$AM, 22, FALSE) / VLOOKUP("industry|SO2|Respiratory hospital admissions", US_national_yearly!$D:$AM, 10, FALSE), 1)</f>
        <v>2.9314266012287193E-4</v>
      </c>
      <c r="O12" s="7">
        <f>$B12 * IFERROR(VLOOKUP("industry|SO2|Respiratory hospital admissions", US_national_yearly!$D:$AM, 23, FALSE) / VLOOKUP("industry|SO2|Respiratory hospital admissions", US_national_yearly!$D:$AM, 10, FALSE), 1)</f>
        <v>2.9438371680967916E-4</v>
      </c>
      <c r="P12" s="7">
        <f>$B12 * IFERROR(VLOOKUP("industry|SO2|Respiratory hospital admissions", US_national_yearly!$D:$AM, 24, FALSE) / VLOOKUP("industry|SO2|Respiratory hospital admissions", US_national_yearly!$D:$AM, 10, FALSE), 1)</f>
        <v>2.9562477349648634E-4</v>
      </c>
      <c r="Q12" s="7">
        <f>$B12 * IFERROR(VLOOKUP("industry|SO2|Respiratory hospital admissions", US_national_yearly!$D:$AM, 25, FALSE) / VLOOKUP("industry|SO2|Respiratory hospital admissions", US_national_yearly!$D:$AM, 10, FALSE), 1)</f>
        <v>2.9686583018329353E-4</v>
      </c>
      <c r="R12" s="7">
        <f>$B12 * IFERROR(VLOOKUP("industry|SO2|Respiratory hospital admissions", US_national_yearly!$D:$AM, 26, FALSE) / VLOOKUP("industry|SO2|Respiratory hospital admissions", US_national_yearly!$D:$AM, 10, FALSE), 1)</f>
        <v>2.9810688687010071E-4</v>
      </c>
      <c r="S12" s="7">
        <f>$B12 * IFERROR(VLOOKUP("industry|SO2|Respiratory hospital admissions", US_national_yearly!$D:$AM, 27, FALSE) / VLOOKUP("industry|SO2|Respiratory hospital admissions", US_national_yearly!$D:$AM, 10, FALSE), 1)</f>
        <v>2.9928632154605747E-4</v>
      </c>
      <c r="T12" s="7">
        <f>$B12 * IFERROR(VLOOKUP("industry|SO2|Respiratory hospital admissions", US_national_yearly!$D:$AM, 28, FALSE) / VLOOKUP("industry|SO2|Respiratory hospital admissions", US_national_yearly!$D:$AM, 10, FALSE), 1)</f>
        <v>3.0046575622201418E-4</v>
      </c>
      <c r="U12" s="7">
        <f>$B12 * IFERROR(VLOOKUP("industry|SO2|Respiratory hospital admissions", US_national_yearly!$D:$AM, 29, FALSE) / VLOOKUP("industry|SO2|Respiratory hospital admissions", US_national_yearly!$D:$AM, 10, FALSE), 1)</f>
        <v>3.016451908979709E-4</v>
      </c>
      <c r="V12" s="7">
        <f>$B12 * IFERROR(VLOOKUP("industry|SO2|Respiratory hospital admissions", US_national_yearly!$D:$AM, 30, FALSE) / VLOOKUP("industry|SO2|Respiratory hospital admissions", US_national_yearly!$D:$AM, 10, FALSE), 1)</f>
        <v>3.0282462557392766E-4</v>
      </c>
      <c r="W12" s="7">
        <f>$B12 * IFERROR(VLOOKUP("industry|SO2|Respiratory hospital admissions", US_national_yearly!$D:$AM, 31, FALSE) / VLOOKUP("industry|SO2|Respiratory hospital admissions", US_national_yearly!$D:$AM, 10, FALSE), 1)</f>
        <v>3.0400406024988437E-4</v>
      </c>
      <c r="X12" s="7">
        <f>$B12 * IFERROR(VLOOKUP("industry|SO2|Respiratory hospital admissions", US_national_yearly!$D:$AM, 32, FALSE) / VLOOKUP("industry|SO2|Respiratory hospital admissions", US_national_yearly!$D:$AM, 10, FALSE), 1)</f>
        <v>3.0512406913550774E-4</v>
      </c>
      <c r="Y12" s="7">
        <f>$B12 * IFERROR(VLOOKUP("industry|SO2|Respiratory hospital admissions", US_national_yearly!$D:$AM, 33, FALSE) / VLOOKUP("industry|SO2|Respiratory hospital admissions", US_national_yearly!$D:$AM, 10, FALSE), 1)</f>
        <v>3.0624407802113117E-4</v>
      </c>
      <c r="Z12" s="7">
        <f>$B12 * IFERROR(VLOOKUP("industry|SO2|Respiratory hospital admissions", US_national_yearly!$D:$AM, 34, FALSE) / VLOOKUP("industry|SO2|Respiratory hospital admissions", US_national_yearly!$D:$AM, 10, FALSE), 1)</f>
        <v>3.0736408690675449E-4</v>
      </c>
      <c r="AA12" s="7">
        <f>$B12 * IFERROR(VLOOKUP("industry|SO2|Respiratory hospital admissions", US_national_yearly!$D:$AM, 35, FALSE) / VLOOKUP("industry|SO2|Respiratory hospital admissions", US_national_yearly!$D:$AM, 10, FALSE), 1)</f>
        <v>3.0848409579237786E-4</v>
      </c>
      <c r="AB12" s="7">
        <f>$B12 * IFERROR(VLOOKUP("industry|SO2|Respiratory hospital admissions", US_national_yearly!$D:$AM, 36, FALSE) / VLOOKUP("industry|SO2|Respiratory hospital admissions", US_national_yearly!$D:$AM, 10, FALSE), 1)</f>
        <v>3.0960410467800124E-4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1.5135595552379143E-3</v>
      </c>
      <c r="C13" s="7">
        <f>$B13 * IFERROR(VLOOKUP("industry|SO2|Non-fatal heart attacks", US_national_yearly!$D:$AM, 11, FALSE) / VLOOKUP("industry|SO2|Non-fatal heart attacks", US_national_yearly!$D:$AM, 10, FALSE), 1)</f>
        <v>1.557991988028927E-3</v>
      </c>
      <c r="D13" s="7">
        <f>$B13 * IFERROR(VLOOKUP("industry|SO2|Non-fatal heart attacks", US_national_yearly!$D:$AM, 12, FALSE) / VLOOKUP("industry|SO2|Non-fatal heart attacks", US_national_yearly!$D:$AM, 10, FALSE), 1)</f>
        <v>1.6024244208199395E-3</v>
      </c>
      <c r="E13" s="7">
        <f>$B13 * IFERROR(VLOOKUP("industry|SO2|Non-fatal heart attacks", US_national_yearly!$D:$AM, 13, FALSE) / VLOOKUP("industry|SO2|Non-fatal heart attacks", US_national_yearly!$D:$AM, 10, FALSE), 1)</f>
        <v>1.6468568536109518E-3</v>
      </c>
      <c r="F13" s="7">
        <f>$B13 * IFERROR(VLOOKUP("industry|SO2|Non-fatal heart attacks", US_national_yearly!$D:$AM, 14, FALSE) / VLOOKUP("industry|SO2|Non-fatal heart attacks", US_national_yearly!$D:$AM, 10, FALSE), 1)</f>
        <v>1.691289286401965E-3</v>
      </c>
      <c r="G13" s="7">
        <f>$B13 * IFERROR(VLOOKUP("industry|SO2|Non-fatal heart attacks", US_national_yearly!$D:$AM, 15, FALSE) / VLOOKUP("industry|SO2|Non-fatal heart attacks", US_national_yearly!$D:$AM, 10, FALSE), 1)</f>
        <v>1.7332210557392837E-3</v>
      </c>
      <c r="H13" s="7">
        <f>$B13 * IFERROR(VLOOKUP("industry|SO2|Non-fatal heart attacks", US_national_yearly!$D:$AM, 16, FALSE) / VLOOKUP("industry|SO2|Non-fatal heart attacks", US_national_yearly!$D:$AM, 10, FALSE), 1)</f>
        <v>1.7751528250766026E-3</v>
      </c>
      <c r="I13" s="7">
        <f>$B13 * IFERROR(VLOOKUP("industry|SO2|Non-fatal heart attacks", US_national_yearly!$D:$AM, 17, FALSE) / VLOOKUP("industry|SO2|Non-fatal heart attacks", US_national_yearly!$D:$AM, 10, FALSE), 1)</f>
        <v>1.8089570893021379E-3</v>
      </c>
      <c r="J13" s="7">
        <f>$B13 * IFERROR(VLOOKUP("industry|SO2|Non-fatal heart attacks", US_national_yearly!$D:$AM, 18, FALSE) / VLOOKUP("industry|SO2|Non-fatal heart attacks", US_national_yearly!$D:$AM, 10, FALSE), 1)</f>
        <v>1.8427613535276736E-3</v>
      </c>
      <c r="K13" s="7">
        <f>$B13 * IFERROR(VLOOKUP("industry|SO2|Non-fatal heart attacks", US_national_yearly!$D:$AM, 19, FALSE) / VLOOKUP("industry|SO2|Non-fatal heart attacks", US_national_yearly!$D:$AM, 10, FALSE), 1)</f>
        <v>1.876565617753209E-3</v>
      </c>
      <c r="L13" s="7">
        <f>$B13 * IFERROR(VLOOKUP("industry|SO2|Non-fatal heart attacks", US_national_yearly!$D:$AM, 20, FALSE) / VLOOKUP("industry|SO2|Non-fatal heart attacks", US_national_yearly!$D:$AM, 10, FALSE), 1)</f>
        <v>1.9103698819787445E-3</v>
      </c>
      <c r="M13" s="7">
        <f>$B13 * IFERROR(VLOOKUP("industry|SO2|Non-fatal heart attacks", US_national_yearly!$D:$AM, 21, FALSE) / VLOOKUP("industry|SO2|Non-fatal heart attacks", US_national_yearly!$D:$AM, 10, FALSE), 1)</f>
        <v>1.9441741462042799E-3</v>
      </c>
      <c r="N13" s="7">
        <f>$B13 * IFERROR(VLOOKUP("industry|SO2|Non-fatal heart attacks", US_national_yearly!$D:$AM, 22, FALSE) / VLOOKUP("industry|SO2|Non-fatal heart attacks", US_national_yearly!$D:$AM, 10, FALSE), 1)</f>
        <v>1.966135197198448E-3</v>
      </c>
      <c r="O13" s="7">
        <f>$B13 * IFERROR(VLOOKUP("industry|SO2|Non-fatal heart attacks", US_national_yearly!$D:$AM, 23, FALSE) / VLOOKUP("industry|SO2|Non-fatal heart attacks", US_national_yearly!$D:$AM, 10, FALSE), 1)</f>
        <v>1.9880962481926166E-3</v>
      </c>
      <c r="P13" s="7">
        <f>$B13 * IFERROR(VLOOKUP("industry|SO2|Non-fatal heart attacks", US_national_yearly!$D:$AM, 24, FALSE) / VLOOKUP("industry|SO2|Non-fatal heart attacks", US_national_yearly!$D:$AM, 10, FALSE), 1)</f>
        <v>2.0100572991867847E-3</v>
      </c>
      <c r="Q13" s="7">
        <f>$B13 * IFERROR(VLOOKUP("industry|SO2|Non-fatal heart attacks", US_national_yearly!$D:$AM, 25, FALSE) / VLOOKUP("industry|SO2|Non-fatal heart attacks", US_national_yearly!$D:$AM, 10, FALSE), 1)</f>
        <v>2.0320183501809524E-3</v>
      </c>
      <c r="R13" s="7">
        <f>$B13 * IFERROR(VLOOKUP("industry|SO2|Non-fatal heart attacks", US_national_yearly!$D:$AM, 26, FALSE) / VLOOKUP("industry|SO2|Non-fatal heart attacks", US_national_yearly!$D:$AM, 10, FALSE), 1)</f>
        <v>2.0539794011751209E-3</v>
      </c>
      <c r="S13" s="7">
        <f>$B13 * IFERROR(VLOOKUP("industry|SO2|Non-fatal heart attacks", US_national_yearly!$D:$AM, 27, FALSE) / VLOOKUP("industry|SO2|Non-fatal heart attacks", US_national_yearly!$D:$AM, 10, FALSE), 1)</f>
        <v>2.065513668049876E-3</v>
      </c>
      <c r="T13" s="7">
        <f>$B13 * IFERROR(VLOOKUP("industry|SO2|Non-fatal heart attacks", US_national_yearly!$D:$AM, 28, FALSE) / VLOOKUP("industry|SO2|Non-fatal heart attacks", US_national_yearly!$D:$AM, 10, FALSE), 1)</f>
        <v>2.0770479349246306E-3</v>
      </c>
      <c r="U13" s="7">
        <f>$B13 * IFERROR(VLOOKUP("industry|SO2|Non-fatal heart attacks", US_national_yearly!$D:$AM, 29, FALSE) / VLOOKUP("industry|SO2|Non-fatal heart attacks", US_national_yearly!$D:$AM, 10, FALSE), 1)</f>
        <v>2.0885822017993856E-3</v>
      </c>
      <c r="V13" s="7">
        <f>$B13 * IFERROR(VLOOKUP("industry|SO2|Non-fatal heart attacks", US_national_yearly!$D:$AM, 30, FALSE) / VLOOKUP("industry|SO2|Non-fatal heart attacks", US_national_yearly!$D:$AM, 10, FALSE), 1)</f>
        <v>2.1001164686741407E-3</v>
      </c>
      <c r="W13" s="7">
        <f>$B13 * IFERROR(VLOOKUP("industry|SO2|Non-fatal heart attacks", US_national_yearly!$D:$AM, 31, FALSE) / VLOOKUP("industry|SO2|Non-fatal heart attacks", US_national_yearly!$D:$AM, 10, FALSE), 1)</f>
        <v>2.1116507355488957E-3</v>
      </c>
      <c r="X13" s="7">
        <f>$B13 * IFERROR(VLOOKUP("industry|SO2|Non-fatal heart attacks", US_national_yearly!$D:$AM, 32, FALSE) / VLOOKUP("industry|SO2|Non-fatal heart attacks", US_national_yearly!$D:$AM, 10, FALSE), 1)</f>
        <v>2.1204106783948022E-3</v>
      </c>
      <c r="Y13" s="7">
        <f>$B13 * IFERROR(VLOOKUP("industry|SO2|Non-fatal heart attacks", US_national_yearly!$D:$AM, 33, FALSE) / VLOOKUP("industry|SO2|Non-fatal heart attacks", US_national_yearly!$D:$AM, 10, FALSE), 1)</f>
        <v>2.1291706212407087E-3</v>
      </c>
      <c r="Z13" s="7">
        <f>$B13 * IFERROR(VLOOKUP("industry|SO2|Non-fatal heart attacks", US_national_yearly!$D:$AM, 34, FALSE) / VLOOKUP("industry|SO2|Non-fatal heart attacks", US_national_yearly!$D:$AM, 10, FALSE), 1)</f>
        <v>2.1379305640866152E-3</v>
      </c>
      <c r="AA13" s="7">
        <f>$B13 * IFERROR(VLOOKUP("industry|SO2|Non-fatal heart attacks", US_national_yearly!$D:$AM, 35, FALSE) / VLOOKUP("industry|SO2|Non-fatal heart attacks", US_national_yearly!$D:$AM, 10, FALSE), 1)</f>
        <v>2.1466905069325217E-3</v>
      </c>
      <c r="AB13" s="7">
        <f>$B13 * IFERROR(VLOOKUP("industry|SO2|Non-fatal heart attacks", US_national_yearly!$D:$AM, 36, FALSE) / VLOOKUP("industry|SO2|Non-fatal heart attacks", US_national_yearly!$D:$AM, 10, FALSE), 1)</f>
        <v>2.1554504497784282E-3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0.82478578322586737</v>
      </c>
      <c r="C14" s="7">
        <f>$B14 * IFERROR(VLOOKUP("industry|SO2|Minor restricted activity days", US_national_yearly!$D:$AM, 11, FALSE) / VLOOKUP("industry|SO2|Minor restricted activity days", US_national_yearly!$D:$AM, 10, FALSE), 1)</f>
        <v>0.82684889334913825</v>
      </c>
      <c r="D14" s="7">
        <f>$B14 * IFERROR(VLOOKUP("industry|SO2|Minor restricted activity days", US_national_yearly!$D:$AM, 12, FALSE) / VLOOKUP("industry|SO2|Minor restricted activity days", US_national_yearly!$D:$AM, 10, FALSE), 1)</f>
        <v>0.8289120034724089</v>
      </c>
      <c r="E14" s="7">
        <f>$B14 * IFERROR(VLOOKUP("industry|SO2|Minor restricted activity days", US_national_yearly!$D:$AM, 13, FALSE) / VLOOKUP("industry|SO2|Minor restricted activity days", US_national_yearly!$D:$AM, 10, FALSE), 1)</f>
        <v>0.83097511359567977</v>
      </c>
      <c r="F14" s="7">
        <f>$B14 * IFERROR(VLOOKUP("industry|SO2|Minor restricted activity days", US_national_yearly!$D:$AM, 14, FALSE) / VLOOKUP("industry|SO2|Minor restricted activity days", US_national_yearly!$D:$AM, 10, FALSE), 1)</f>
        <v>0.83303822371895064</v>
      </c>
      <c r="G14" s="7">
        <f>$B14 * IFERROR(VLOOKUP("industry|SO2|Minor restricted activity days", US_national_yearly!$D:$AM, 15, FALSE) / VLOOKUP("industry|SO2|Minor restricted activity days", US_national_yearly!$D:$AM, 10, FALSE), 1)</f>
        <v>0.83607325529844767</v>
      </c>
      <c r="H14" s="7">
        <f>$B14 * IFERROR(VLOOKUP("industry|SO2|Minor restricted activity days", US_national_yearly!$D:$AM, 16, FALSE) / VLOOKUP("industry|SO2|Minor restricted activity days", US_national_yearly!$D:$AM, 10, FALSE), 1)</f>
        <v>0.83910828687794459</v>
      </c>
      <c r="I14" s="7">
        <f>$B14 * IFERROR(VLOOKUP("industry|SO2|Minor restricted activity days", US_national_yearly!$D:$AM, 17, FALSE) / VLOOKUP("industry|SO2|Minor restricted activity days", US_national_yearly!$D:$AM, 10, FALSE), 1)</f>
        <v>0.84428393374882249</v>
      </c>
      <c r="J14" s="7">
        <f>$B14 * IFERROR(VLOOKUP("industry|SO2|Minor restricted activity days", US_national_yearly!$D:$AM, 18, FALSE) / VLOOKUP("industry|SO2|Minor restricted activity days", US_national_yearly!$D:$AM, 10, FALSE), 1)</f>
        <v>0.84945958061970039</v>
      </c>
      <c r="K14" s="7">
        <f>$B14 * IFERROR(VLOOKUP("industry|SO2|Minor restricted activity days", US_national_yearly!$D:$AM, 19, FALSE) / VLOOKUP("industry|SO2|Minor restricted activity days", US_national_yearly!$D:$AM, 10, FALSE), 1)</f>
        <v>0.85463522749057841</v>
      </c>
      <c r="L14" s="7">
        <f>$B14 * IFERROR(VLOOKUP("industry|SO2|Minor restricted activity days", US_national_yearly!$D:$AM, 20, FALSE) / VLOOKUP("industry|SO2|Minor restricted activity days", US_national_yearly!$D:$AM, 10, FALSE), 1)</f>
        <v>0.85981087436145631</v>
      </c>
      <c r="M14" s="7">
        <f>$B14 * IFERROR(VLOOKUP("industry|SO2|Minor restricted activity days", US_national_yearly!$D:$AM, 21, FALSE) / VLOOKUP("industry|SO2|Minor restricted activity days", US_national_yearly!$D:$AM, 10, FALSE), 1)</f>
        <v>0.86498652123233422</v>
      </c>
      <c r="N14" s="7">
        <f>$B14 * IFERROR(VLOOKUP("industry|SO2|Minor restricted activity days", US_national_yearly!$D:$AM, 22, FALSE) / VLOOKUP("industry|SO2|Minor restricted activity days", US_national_yearly!$D:$AM, 10, FALSE), 1)</f>
        <v>0.87208295555296</v>
      </c>
      <c r="O14" s="7">
        <f>$B14 * IFERROR(VLOOKUP("industry|SO2|Minor restricted activity days", US_national_yearly!$D:$AM, 23, FALSE) / VLOOKUP("industry|SO2|Minor restricted activity days", US_national_yearly!$D:$AM, 10, FALSE), 1)</f>
        <v>0.87917938987358579</v>
      </c>
      <c r="P14" s="7">
        <f>$B14 * IFERROR(VLOOKUP("industry|SO2|Minor restricted activity days", US_national_yearly!$D:$AM, 24, FALSE) / VLOOKUP("industry|SO2|Minor restricted activity days", US_national_yearly!$D:$AM, 10, FALSE), 1)</f>
        <v>0.88627582419421158</v>
      </c>
      <c r="Q14" s="7">
        <f>$B14 * IFERROR(VLOOKUP("industry|SO2|Minor restricted activity days", US_national_yearly!$D:$AM, 25, FALSE) / VLOOKUP("industry|SO2|Minor restricted activity days", US_national_yearly!$D:$AM, 10, FALSE), 1)</f>
        <v>0.89337225851483759</v>
      </c>
      <c r="R14" s="7">
        <f>$B14 * IFERROR(VLOOKUP("industry|SO2|Minor restricted activity days", US_national_yearly!$D:$AM, 26, FALSE) / VLOOKUP("industry|SO2|Minor restricted activity days", US_national_yearly!$D:$AM, 10, FALSE), 1)</f>
        <v>0.90046869283546338</v>
      </c>
      <c r="S14" s="7">
        <f>$B14 * IFERROR(VLOOKUP("industry|SO2|Minor restricted activity days", US_national_yearly!$D:$AM, 27, FALSE) / VLOOKUP("industry|SO2|Minor restricted activity days", US_national_yearly!$D:$AM, 10, FALSE), 1)</f>
        <v>0.90771117718177752</v>
      </c>
      <c r="T14" s="7">
        <f>$B14 * IFERROR(VLOOKUP("industry|SO2|Minor restricted activity days", US_national_yearly!$D:$AM, 28, FALSE) / VLOOKUP("industry|SO2|Minor restricted activity days", US_national_yearly!$D:$AM, 10, FALSE), 1)</f>
        <v>0.91495366152809177</v>
      </c>
      <c r="U14" s="7">
        <f>$B14 * IFERROR(VLOOKUP("industry|SO2|Minor restricted activity days", US_national_yearly!$D:$AM, 29, FALSE) / VLOOKUP("industry|SO2|Minor restricted activity days", US_national_yearly!$D:$AM, 10, FALSE), 1)</f>
        <v>0.9221961458744059</v>
      </c>
      <c r="V14" s="7">
        <f>$B14 * IFERROR(VLOOKUP("industry|SO2|Minor restricted activity days", US_national_yearly!$D:$AM, 30, FALSE) / VLOOKUP("industry|SO2|Minor restricted activity days", US_national_yearly!$D:$AM, 10, FALSE), 1)</f>
        <v>0.92943863022072026</v>
      </c>
      <c r="W14" s="7">
        <f>$B14 * IFERROR(VLOOKUP("industry|SO2|Minor restricted activity days", US_national_yearly!$D:$AM, 31, FALSE) / VLOOKUP("industry|SO2|Minor restricted activity days", US_national_yearly!$D:$AM, 10, FALSE), 1)</f>
        <v>0.93668111456703429</v>
      </c>
      <c r="X14" s="7">
        <f>$B14 * IFERROR(VLOOKUP("industry|SO2|Minor restricted activity days", US_national_yearly!$D:$AM, 32, FALSE) / VLOOKUP("industry|SO2|Minor restricted activity days", US_national_yearly!$D:$AM, 10, FALSE), 1)</f>
        <v>0.94304937389091237</v>
      </c>
      <c r="Y14" s="7">
        <f>$B14 * IFERROR(VLOOKUP("industry|SO2|Minor restricted activity days", US_national_yearly!$D:$AM, 33, FALSE) / VLOOKUP("industry|SO2|Minor restricted activity days", US_national_yearly!$D:$AM, 10, FALSE), 1)</f>
        <v>0.94941763321479022</v>
      </c>
      <c r="Z14" s="7">
        <f>$B14 * IFERROR(VLOOKUP("industry|SO2|Minor restricted activity days", US_national_yearly!$D:$AM, 34, FALSE) / VLOOKUP("industry|SO2|Minor restricted activity days", US_national_yearly!$D:$AM, 10, FALSE), 1)</f>
        <v>0.95578589253866819</v>
      </c>
      <c r="AA14" s="7">
        <f>$B14 * IFERROR(VLOOKUP("industry|SO2|Minor restricted activity days", US_national_yearly!$D:$AM, 35, FALSE) / VLOOKUP("industry|SO2|Minor restricted activity days", US_national_yearly!$D:$AM, 10, FALSE), 1)</f>
        <v>0.96215415186254605</v>
      </c>
      <c r="AB14" s="7">
        <f>$B14 * IFERROR(VLOOKUP("industry|SO2|Minor restricted activity days", US_national_yearly!$D:$AM, 36, FALSE) / VLOOKUP("industry|SO2|Minor restricted activity days", US_national_yearly!$D:$AM, 10, FALSE), 1)</f>
        <v>0.96852241118642413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0.13935233763129795</v>
      </c>
      <c r="C15" s="7">
        <f>$B15 * IFERROR(VLOOKUP("industry|SO2|Work loss days", US_national_yearly!$D:$AM, 11, FALSE) / VLOOKUP("industry|SO2|Work loss days", US_national_yearly!$D:$AM, 10, FALSE), 1)</f>
        <v>0.13980047900552919</v>
      </c>
      <c r="D15" s="7">
        <f>$B15 * IFERROR(VLOOKUP("industry|SO2|Work loss days", US_national_yearly!$D:$AM, 12, FALSE) / VLOOKUP("industry|SO2|Work loss days", US_national_yearly!$D:$AM, 10, FALSE), 1)</f>
        <v>0.14024862037976049</v>
      </c>
      <c r="E15" s="7">
        <f>$B15 * IFERROR(VLOOKUP("industry|SO2|Work loss days", US_national_yearly!$D:$AM, 13, FALSE) / VLOOKUP("industry|SO2|Work loss days", US_national_yearly!$D:$AM, 10, FALSE), 1)</f>
        <v>0.14069676175399171</v>
      </c>
      <c r="F15" s="7">
        <f>$B15 * IFERROR(VLOOKUP("industry|SO2|Work loss days", US_national_yearly!$D:$AM, 14, FALSE) / VLOOKUP("industry|SO2|Work loss days", US_national_yearly!$D:$AM, 10, FALSE), 1)</f>
        <v>0.141144903128223</v>
      </c>
      <c r="G15" s="7">
        <f>$B15 * IFERROR(VLOOKUP("industry|SO2|Work loss days", US_national_yearly!$D:$AM, 15, FALSE) / VLOOKUP("industry|SO2|Work loss days", US_national_yearly!$D:$AM, 10, FALSE), 1)</f>
        <v>0.14172984872651709</v>
      </c>
      <c r="H15" s="7">
        <f>$B15 * IFERROR(VLOOKUP("industry|SO2|Work loss days", US_national_yearly!$D:$AM, 16, FALSE) / VLOOKUP("industry|SO2|Work loss days", US_national_yearly!$D:$AM, 10, FALSE), 1)</f>
        <v>0.14231479432481117</v>
      </c>
      <c r="I15" s="7">
        <f>$B15 * IFERROR(VLOOKUP("industry|SO2|Work loss days", US_national_yearly!$D:$AM, 17, FALSE) / VLOOKUP("industry|SO2|Work loss days", US_national_yearly!$D:$AM, 10, FALSE), 1)</f>
        <v>0.14316981996011333</v>
      </c>
      <c r="J15" s="7">
        <f>$B15 * IFERROR(VLOOKUP("industry|SO2|Work loss days", US_national_yearly!$D:$AM, 18, FALSE) / VLOOKUP("industry|SO2|Work loss days", US_national_yearly!$D:$AM, 10, FALSE), 1)</f>
        <v>0.14402484559541545</v>
      </c>
      <c r="K15" s="7">
        <f>$B15 * IFERROR(VLOOKUP("industry|SO2|Work loss days", US_national_yearly!$D:$AM, 19, FALSE) / VLOOKUP("industry|SO2|Work loss days", US_national_yearly!$D:$AM, 10, FALSE), 1)</f>
        <v>0.14487987123071755</v>
      </c>
      <c r="L15" s="7">
        <f>$B15 * IFERROR(VLOOKUP("industry|SO2|Work loss days", US_national_yearly!$D:$AM, 20, FALSE) / VLOOKUP("industry|SO2|Work loss days", US_national_yearly!$D:$AM, 10, FALSE), 1)</f>
        <v>0.1457348968660197</v>
      </c>
      <c r="M15" s="7">
        <f>$B15 * IFERROR(VLOOKUP("industry|SO2|Work loss days", US_national_yearly!$D:$AM, 21, FALSE) / VLOOKUP("industry|SO2|Work loss days", US_national_yearly!$D:$AM, 10, FALSE), 1)</f>
        <v>0.1465899225013218</v>
      </c>
      <c r="N15" s="7">
        <f>$B15 * IFERROR(VLOOKUP("industry|SO2|Work loss days", US_national_yearly!$D:$AM, 22, FALSE) / VLOOKUP("industry|SO2|Work loss days", US_national_yearly!$D:$AM, 10, FALSE), 1)</f>
        <v>0.14766456384859317</v>
      </c>
      <c r="O15" s="7">
        <f>$B15 * IFERROR(VLOOKUP("industry|SO2|Work loss days", US_national_yearly!$D:$AM, 23, FALSE) / VLOOKUP("industry|SO2|Work loss days", US_national_yearly!$D:$AM, 10, FALSE), 1)</f>
        <v>0.14873920519586453</v>
      </c>
      <c r="P15" s="7">
        <f>$B15 * IFERROR(VLOOKUP("industry|SO2|Work loss days", US_national_yearly!$D:$AM, 24, FALSE) / VLOOKUP("industry|SO2|Work loss days", US_national_yearly!$D:$AM, 10, FALSE), 1)</f>
        <v>0.1498138465431359</v>
      </c>
      <c r="Q15" s="7">
        <f>$B15 * IFERROR(VLOOKUP("industry|SO2|Work loss days", US_national_yearly!$D:$AM, 25, FALSE) / VLOOKUP("industry|SO2|Work loss days", US_national_yearly!$D:$AM, 10, FALSE), 1)</f>
        <v>0.15088848789040726</v>
      </c>
      <c r="R15" s="7">
        <f>$B15 * IFERROR(VLOOKUP("industry|SO2|Work loss days", US_national_yearly!$D:$AM, 26, FALSE) / VLOOKUP("industry|SO2|Work loss days", US_national_yearly!$D:$AM, 10, FALSE), 1)</f>
        <v>0.1519631292376786</v>
      </c>
      <c r="S15" s="7">
        <f>$B15 * IFERROR(VLOOKUP("industry|SO2|Work loss days", US_national_yearly!$D:$AM, 27, FALSE) / VLOOKUP("industry|SO2|Work loss days", US_national_yearly!$D:$AM, 10, FALSE), 1)</f>
        <v>0.15316560861649028</v>
      </c>
      <c r="T15" s="7">
        <f>$B15 * IFERROR(VLOOKUP("industry|SO2|Work loss days", US_national_yearly!$D:$AM, 28, FALSE) / VLOOKUP("industry|SO2|Work loss days", US_national_yearly!$D:$AM, 10, FALSE), 1)</f>
        <v>0.15436808799530197</v>
      </c>
      <c r="U15" s="7">
        <f>$B15 * IFERROR(VLOOKUP("industry|SO2|Work loss days", US_national_yearly!$D:$AM, 29, FALSE) / VLOOKUP("industry|SO2|Work loss days", US_national_yearly!$D:$AM, 10, FALSE), 1)</f>
        <v>0.15557056737411371</v>
      </c>
      <c r="V15" s="7">
        <f>$B15 * IFERROR(VLOOKUP("industry|SO2|Work loss days", US_national_yearly!$D:$AM, 30, FALSE) / VLOOKUP("industry|SO2|Work loss days", US_national_yearly!$D:$AM, 10, FALSE), 1)</f>
        <v>0.15677304675292539</v>
      </c>
      <c r="W15" s="7">
        <f>$B15 * IFERROR(VLOOKUP("industry|SO2|Work loss days", US_national_yearly!$D:$AM, 31, FALSE) / VLOOKUP("industry|SO2|Work loss days", US_national_yearly!$D:$AM, 10, FALSE), 1)</f>
        <v>0.15797552613173707</v>
      </c>
      <c r="X15" s="7">
        <f>$B15 * IFERROR(VLOOKUP("industry|SO2|Work loss days", US_national_yearly!$D:$AM, 32, FALSE) / VLOOKUP("industry|SO2|Work loss days", US_national_yearly!$D:$AM, 10, FALSE), 1)</f>
        <v>0.15905556051496475</v>
      </c>
      <c r="Y15" s="7">
        <f>$B15 * IFERROR(VLOOKUP("industry|SO2|Work loss days", US_national_yearly!$D:$AM, 33, FALSE) / VLOOKUP("industry|SO2|Work loss days", US_national_yearly!$D:$AM, 10, FALSE), 1)</f>
        <v>0.16013559489819243</v>
      </c>
      <c r="Z15" s="7">
        <f>$B15 * IFERROR(VLOOKUP("industry|SO2|Work loss days", US_national_yearly!$D:$AM, 34, FALSE) / VLOOKUP("industry|SO2|Work loss days", US_national_yearly!$D:$AM, 10, FALSE), 1)</f>
        <v>0.16121562928142008</v>
      </c>
      <c r="AA15" s="7">
        <f>$B15 * IFERROR(VLOOKUP("industry|SO2|Work loss days", US_national_yearly!$D:$AM, 35, FALSE) / VLOOKUP("industry|SO2|Work loss days", US_national_yearly!$D:$AM, 10, FALSE), 1)</f>
        <v>0.16229566366464776</v>
      </c>
      <c r="AB15" s="7">
        <f>$B15 * IFERROR(VLOOKUP("industry|SO2|Work loss days", US_national_yearly!$D:$AM, 36, FALSE) / VLOOKUP("industry|SO2|Work loss days", US_national_yearly!$D:$AM, 10, FALSE), 1)</f>
        <v>0.16337569804787544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3.9085959544287705E-4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4.026780938402689E-4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4.1449659223766081E-4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4.2631509063505271E-4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4.3813358903244462E-4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4.4945997332192071E-4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4.6078635761139674E-4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4.7050479194242831E-4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4.8022322627345993E-4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4.899416606044915E-4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4.9966009493552317E-4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5.0937852926655474E-4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5.1590790025526033E-4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5.2243727124396603E-4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5.2896664223267163E-4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5.3549601322137722E-4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5.4202538421008293E-4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5.4547786245558649E-4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5.4893034070109038E-4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5.5238281894659405E-4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5.5583529719209783E-4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5.592877754376015E-4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5.6162256611237888E-4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5.6395735678715626E-4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5.6629214746193376E-4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5.6862693813671125E-4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5.7096172881148852E-4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4.4523077260162133E-3</v>
      </c>
      <c r="C2" s="7">
        <f>$B2 * IFERROR(VLOOKUP("LULUCF|PM25|Premature mortality", US_national_yearly!$D:$AM, 11, FALSE) / VLOOKUP("LULUCF|PM25|Premature mortality", US_national_yearly!$D:$AM, 10, FALSE), 1)</f>
        <v>4.507506584648169E-3</v>
      </c>
      <c r="D2" s="7">
        <f>$B2 * IFERROR(VLOOKUP("LULUCF|PM25|Premature mortality", US_national_yearly!$D:$AM, 12, FALSE) / VLOOKUP("LULUCF|PM25|Premature mortality", US_national_yearly!$D:$AM, 10, FALSE), 1)</f>
        <v>4.5627054432801229E-3</v>
      </c>
      <c r="E2" s="7">
        <f>$B2 * IFERROR(VLOOKUP("LULUCF|PM25|Premature mortality", US_national_yearly!$D:$AM, 13, FALSE) / VLOOKUP("LULUCF|PM25|Premature mortality", US_national_yearly!$D:$AM, 10, FALSE), 1)</f>
        <v>4.6179043019120777E-3</v>
      </c>
      <c r="F2" s="7">
        <f>$B2 * IFERROR(VLOOKUP("LULUCF|PM25|Premature mortality", US_national_yearly!$D:$AM, 14, FALSE) / VLOOKUP("LULUCF|PM25|Premature mortality", US_national_yearly!$D:$AM, 10, FALSE), 1)</f>
        <v>4.6731031605440326E-3</v>
      </c>
      <c r="G2" s="7">
        <f>$B2 * IFERROR(VLOOKUP("LULUCF|PM25|Premature mortality", US_national_yearly!$D:$AM, 15, FALSE) / VLOOKUP("LULUCF|PM25|Premature mortality", US_national_yearly!$D:$AM, 10, FALSE), 1)</f>
        <v>4.7806025214298274E-3</v>
      </c>
      <c r="H2" s="7">
        <f>$B2 * IFERROR(VLOOKUP("LULUCF|PM25|Premature mortality", US_national_yearly!$D:$AM, 16, FALSE) / VLOOKUP("LULUCF|PM25|Premature mortality", US_national_yearly!$D:$AM, 10, FALSE), 1)</f>
        <v>4.8881018823156213E-3</v>
      </c>
      <c r="I2" s="7">
        <f>$B2 * IFERROR(VLOOKUP("LULUCF|PM25|Premature mortality", US_national_yearly!$D:$AM, 17, FALSE) / VLOOKUP("LULUCF|PM25|Premature mortality", US_national_yearly!$D:$AM, 10, FALSE), 1)</f>
        <v>4.958711987745567E-3</v>
      </c>
      <c r="J2" s="7">
        <f>$B2 * IFERROR(VLOOKUP("LULUCF|PM25|Premature mortality", US_national_yearly!$D:$AM, 18, FALSE) / VLOOKUP("LULUCF|PM25|Premature mortality", US_national_yearly!$D:$AM, 10, FALSE), 1)</f>
        <v>5.0293220931755143E-3</v>
      </c>
      <c r="K2" s="7">
        <f>$B2 * IFERROR(VLOOKUP("LULUCF|PM25|Premature mortality", US_national_yearly!$D:$AM, 19, FALSE) / VLOOKUP("LULUCF|PM25|Premature mortality", US_national_yearly!$D:$AM, 10, FALSE), 1)</f>
        <v>5.0999321986054608E-3</v>
      </c>
      <c r="L2" s="7">
        <f>$B2 * IFERROR(VLOOKUP("LULUCF|PM25|Premature mortality", US_national_yearly!$D:$AM, 20, FALSE) / VLOOKUP("LULUCF|PM25|Premature mortality", US_national_yearly!$D:$AM, 10, FALSE), 1)</f>
        <v>5.1705423040354073E-3</v>
      </c>
      <c r="M2" s="7">
        <f>$B2 * IFERROR(VLOOKUP("LULUCF|PM25|Premature mortality", US_national_yearly!$D:$AM, 21, FALSE) / VLOOKUP("LULUCF|PM25|Premature mortality", US_national_yearly!$D:$AM, 10, FALSE), 1)</f>
        <v>5.2411524094653538E-3</v>
      </c>
      <c r="N2" s="7">
        <f>$B2 * IFERROR(VLOOKUP("LULUCF|PM25|Premature mortality", US_national_yearly!$D:$AM, 22, FALSE) / VLOOKUP("LULUCF|PM25|Premature mortality", US_national_yearly!$D:$AM, 10, FALSE), 1)</f>
        <v>5.2959766624193745E-3</v>
      </c>
      <c r="O2" s="7">
        <f>$B2 * IFERROR(VLOOKUP("LULUCF|PM25|Premature mortality", US_national_yearly!$D:$AM, 23, FALSE) / VLOOKUP("LULUCF|PM25|Premature mortality", US_national_yearly!$D:$AM, 10, FALSE), 1)</f>
        <v>5.3508009153733953E-3</v>
      </c>
      <c r="P2" s="7">
        <f>$B2 * IFERROR(VLOOKUP("LULUCF|PM25|Premature mortality", US_national_yearly!$D:$AM, 24, FALSE) / VLOOKUP("LULUCF|PM25|Premature mortality", US_national_yearly!$D:$AM, 10, FALSE), 1)</f>
        <v>5.4056251683274161E-3</v>
      </c>
      <c r="Q2" s="7">
        <f>$B2 * IFERROR(VLOOKUP("LULUCF|PM25|Premature mortality", US_national_yearly!$D:$AM, 25, FALSE) / VLOOKUP("LULUCF|PM25|Premature mortality", US_national_yearly!$D:$AM, 10, FALSE), 1)</f>
        <v>5.4604494212814369E-3</v>
      </c>
      <c r="R2" s="7">
        <f>$B2 * IFERROR(VLOOKUP("LULUCF|PM25|Premature mortality", US_national_yearly!$D:$AM, 26, FALSE) / VLOOKUP("LULUCF|PM25|Premature mortality", US_national_yearly!$D:$AM, 10, FALSE), 1)</f>
        <v>5.5152736742354585E-3</v>
      </c>
      <c r="S2" s="7">
        <f>$B2 * IFERROR(VLOOKUP("LULUCF|PM25|Premature mortality", US_national_yearly!$D:$AM, 27, FALSE) / VLOOKUP("LULUCF|PM25|Premature mortality", US_national_yearly!$D:$AM, 10, FALSE), 1)</f>
        <v>5.5443179345676516E-3</v>
      </c>
      <c r="T2" s="7">
        <f>$B2 * IFERROR(VLOOKUP("LULUCF|PM25|Premature mortality", US_national_yearly!$D:$AM, 28, FALSE) / VLOOKUP("LULUCF|PM25|Premature mortality", US_national_yearly!$D:$AM, 10, FALSE), 1)</f>
        <v>5.5733621948998438E-3</v>
      </c>
      <c r="U2" s="7">
        <f>$B2 * IFERROR(VLOOKUP("LULUCF|PM25|Premature mortality", US_national_yearly!$D:$AM, 29, FALSE) / VLOOKUP("LULUCF|PM25|Premature mortality", US_national_yearly!$D:$AM, 10, FALSE), 1)</f>
        <v>5.602406455232036E-3</v>
      </c>
      <c r="V2" s="7">
        <f>$B2 * IFERROR(VLOOKUP("LULUCF|PM25|Premature mortality", US_national_yearly!$D:$AM, 30, FALSE) / VLOOKUP("LULUCF|PM25|Premature mortality", US_national_yearly!$D:$AM, 10, FALSE), 1)</f>
        <v>5.6314507155642282E-3</v>
      </c>
      <c r="W2" s="7">
        <f>$B2 * IFERROR(VLOOKUP("LULUCF|PM25|Premature mortality", US_national_yearly!$D:$AM, 31, FALSE) / VLOOKUP("LULUCF|PM25|Premature mortality", US_national_yearly!$D:$AM, 10, FALSE), 1)</f>
        <v>5.6604949758964204E-3</v>
      </c>
      <c r="X2" s="7">
        <f>$B2 * IFERROR(VLOOKUP("LULUCF|PM25|Premature mortality", US_national_yearly!$D:$AM, 32, FALSE) / VLOOKUP("LULUCF|PM25|Premature mortality", US_national_yearly!$D:$AM, 10, FALSE), 1)</f>
        <v>5.6655735894884226E-3</v>
      </c>
      <c r="Y2" s="7">
        <f>$B2 * IFERROR(VLOOKUP("LULUCF|PM25|Premature mortality", US_national_yearly!$D:$AM, 33, FALSE) / VLOOKUP("LULUCF|PM25|Premature mortality", US_national_yearly!$D:$AM, 10, FALSE), 1)</f>
        <v>5.6706522030804249E-3</v>
      </c>
      <c r="Z2" s="7">
        <f>$B2 * IFERROR(VLOOKUP("LULUCF|PM25|Premature mortality", US_national_yearly!$D:$AM, 34, FALSE) / VLOOKUP("LULUCF|PM25|Premature mortality", US_national_yearly!$D:$AM, 10, FALSE), 1)</f>
        <v>5.6757308166724262E-3</v>
      </c>
      <c r="AA2" s="7">
        <f>$B2 * IFERROR(VLOOKUP("LULUCF|PM25|Premature mortality", US_national_yearly!$D:$AM, 35, FALSE) / VLOOKUP("LULUCF|PM25|Premature mortality", US_national_yearly!$D:$AM, 10, FALSE), 1)</f>
        <v>5.6808094302644293E-3</v>
      </c>
      <c r="AB2" s="7">
        <f>$B2 * IFERROR(VLOOKUP("LULUCF|PM25|Premature mortality", US_national_yearly!$D:$AM, 36, FALSE) / VLOOKUP("LULUCF|PM25|Premature mortality", US_national_yearly!$D:$AM, 10, FALSE), 1)</f>
        <v>5.6858880438564307E-3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9.5468654788550158E-6</v>
      </c>
      <c r="C3" s="7">
        <f>$B3 * IFERROR(VLOOKUP("LULUCF|PM25|Infant mortality", US_national_yearly!$D:$AM, 11, FALSE) / VLOOKUP("LULUCF|PM25|Infant mortality", US_national_yearly!$D:$AM, 10, FALSE), 1)</f>
        <v>9.4636255234562448E-6</v>
      </c>
      <c r="D3" s="7">
        <f>$B3 * IFERROR(VLOOKUP("LULUCF|PM25|Infant mortality", US_national_yearly!$D:$AM, 12, FALSE) / VLOOKUP("LULUCF|PM25|Infant mortality", US_national_yearly!$D:$AM, 10, FALSE), 1)</f>
        <v>9.3803855680574705E-6</v>
      </c>
      <c r="E3" s="7">
        <f>$B3 * IFERROR(VLOOKUP("LULUCF|PM25|Infant mortality", US_national_yearly!$D:$AM, 13, FALSE) / VLOOKUP("LULUCF|PM25|Infant mortality", US_national_yearly!$D:$AM, 10, FALSE), 1)</f>
        <v>9.2971456126586996E-6</v>
      </c>
      <c r="F3" s="7">
        <f>$B3 * IFERROR(VLOOKUP("LULUCF|PM25|Infant mortality", US_national_yearly!$D:$AM, 14, FALSE) / VLOOKUP("LULUCF|PM25|Infant mortality", US_national_yearly!$D:$AM, 10, FALSE), 1)</f>
        <v>9.2139056572599253E-6</v>
      </c>
      <c r="G3" s="7">
        <f>$B3 * IFERROR(VLOOKUP("LULUCF|PM25|Infant mortality", US_national_yearly!$D:$AM, 15, FALSE) / VLOOKUP("LULUCF|PM25|Infant mortality", US_national_yearly!$D:$AM, 10, FALSE), 1)</f>
        <v>6.1277401319146302E-6</v>
      </c>
      <c r="H3" s="7">
        <f>$B3 * IFERROR(VLOOKUP("LULUCF|PM25|Infant mortality", US_national_yearly!$D:$AM, 16, FALSE) / VLOOKUP("LULUCF|PM25|Infant mortality", US_national_yearly!$D:$AM, 10, FALSE), 1)</f>
        <v>3.041574606569333E-6</v>
      </c>
      <c r="I3" s="7">
        <f>$B3 * IFERROR(VLOOKUP("LULUCF|PM25|Infant mortality", US_national_yearly!$D:$AM, 17, FALSE) / VLOOKUP("LULUCF|PM25|Infant mortality", US_national_yearly!$D:$AM, 10, FALSE), 1)</f>
        <v>3.0216928922822139E-6</v>
      </c>
      <c r="J3" s="7">
        <f>$B3 * IFERROR(VLOOKUP("LULUCF|PM25|Infant mortality", US_national_yearly!$D:$AM, 18, FALSE) / VLOOKUP("LULUCF|PM25|Infant mortality", US_national_yearly!$D:$AM, 10, FALSE), 1)</f>
        <v>3.0018111779950943E-6</v>
      </c>
      <c r="K3" s="7">
        <f>$B3 * IFERROR(VLOOKUP("LULUCF|PM25|Infant mortality", US_national_yearly!$D:$AM, 19, FALSE) / VLOOKUP("LULUCF|PM25|Infant mortality", US_national_yearly!$D:$AM, 10, FALSE), 1)</f>
        <v>2.9819294637079747E-6</v>
      </c>
      <c r="L3" s="7">
        <f>$B3 * IFERROR(VLOOKUP("LULUCF|PM25|Infant mortality", US_national_yearly!$D:$AM, 20, FALSE) / VLOOKUP("LULUCF|PM25|Infant mortality", US_national_yearly!$D:$AM, 10, FALSE), 1)</f>
        <v>2.9620477494208556E-6</v>
      </c>
      <c r="M3" s="7">
        <f>$B3 * IFERROR(VLOOKUP("LULUCF|PM25|Infant mortality", US_national_yearly!$D:$AM, 21, FALSE) / VLOOKUP("LULUCF|PM25|Infant mortality", US_national_yearly!$D:$AM, 10, FALSE), 1)</f>
        <v>2.9421660351337364E-6</v>
      </c>
      <c r="N3" s="7">
        <f>$B3 * IFERROR(VLOOKUP("LULUCF|PM25|Infant mortality", US_national_yearly!$D:$AM, 22, FALSE) / VLOOKUP("LULUCF|PM25|Infant mortality", US_national_yearly!$D:$AM, 10, FALSE), 1)</f>
        <v>2.9296781174406827E-6</v>
      </c>
      <c r="O3" s="7">
        <f>$B3 * IFERROR(VLOOKUP("LULUCF|PM25|Infant mortality", US_national_yearly!$D:$AM, 23, FALSE) / VLOOKUP("LULUCF|PM25|Infant mortality", US_national_yearly!$D:$AM, 10, FALSE), 1)</f>
        <v>2.9171901997476289E-6</v>
      </c>
      <c r="P3" s="7">
        <f>$B3 * IFERROR(VLOOKUP("LULUCF|PM25|Infant mortality", US_national_yearly!$D:$AM, 24, FALSE) / VLOOKUP("LULUCF|PM25|Infant mortality", US_national_yearly!$D:$AM, 10, FALSE), 1)</f>
        <v>2.9047022820545747E-6</v>
      </c>
      <c r="Q3" s="7">
        <f>$B3 * IFERROR(VLOOKUP("LULUCF|PM25|Infant mortality", US_national_yearly!$D:$AM, 25, FALSE) / VLOOKUP("LULUCF|PM25|Infant mortality", US_national_yearly!$D:$AM, 10, FALSE), 1)</f>
        <v>2.8922143643615213E-6</v>
      </c>
      <c r="R3" s="7">
        <f>$B3 * IFERROR(VLOOKUP("LULUCF|PM25|Infant mortality", US_national_yearly!$D:$AM, 26, FALSE) / VLOOKUP("LULUCF|PM25|Infant mortality", US_national_yearly!$D:$AM, 10, FALSE), 1)</f>
        <v>2.8797264466684671E-6</v>
      </c>
      <c r="S3" s="7">
        <f>$B3 * IFERROR(VLOOKUP("LULUCF|PM25|Infant mortality", US_national_yearly!$D:$AM, 27, FALSE) / VLOOKUP("LULUCF|PM25|Infant mortality", US_national_yearly!$D:$AM, 10, FALSE), 1)</f>
        <v>2.8641600019286349E-6</v>
      </c>
      <c r="T3" s="7">
        <f>$B3 * IFERROR(VLOOKUP("LULUCF|PM25|Infant mortality", US_national_yearly!$D:$AM, 28, FALSE) / VLOOKUP("LULUCF|PM25|Infant mortality", US_national_yearly!$D:$AM, 10, FALSE), 1)</f>
        <v>2.8485935571888019E-6</v>
      </c>
      <c r="U3" s="7">
        <f>$B3 * IFERROR(VLOOKUP("LULUCF|PM25|Infant mortality", US_national_yearly!$D:$AM, 29, FALSE) / VLOOKUP("LULUCF|PM25|Infant mortality", US_national_yearly!$D:$AM, 10, FALSE), 1)</f>
        <v>2.8330271124489693E-6</v>
      </c>
      <c r="V3" s="7">
        <f>$B3 * IFERROR(VLOOKUP("LULUCF|PM25|Infant mortality", US_national_yearly!$D:$AM, 30, FALSE) / VLOOKUP("LULUCF|PM25|Infant mortality", US_national_yearly!$D:$AM, 10, FALSE), 1)</f>
        <v>2.8174606677091371E-6</v>
      </c>
      <c r="W3" s="7">
        <f>$B3 * IFERROR(VLOOKUP("LULUCF|PM25|Infant mortality", US_national_yearly!$D:$AM, 31, FALSE) / VLOOKUP("LULUCF|PM25|Infant mortality", US_national_yearly!$D:$AM, 10, FALSE), 1)</f>
        <v>2.8018942229693041E-6</v>
      </c>
      <c r="X3" s="7">
        <f>$B3 * IFERROR(VLOOKUP("LULUCF|PM25|Infant mortality", US_national_yearly!$D:$AM, 32, FALSE) / VLOOKUP("LULUCF|PM25|Infant mortality", US_national_yearly!$D:$AM, 10, FALSE), 1)</f>
        <v>2.7851116390429211E-6</v>
      </c>
      <c r="Y3" s="7">
        <f>$B3 * IFERROR(VLOOKUP("LULUCF|PM25|Infant mortality", US_national_yearly!$D:$AM, 33, FALSE) / VLOOKUP("LULUCF|PM25|Infant mortality", US_national_yearly!$D:$AM, 10, FALSE), 1)</f>
        <v>2.7683290551165368E-6</v>
      </c>
      <c r="Z3" s="7">
        <f>$B3 * IFERROR(VLOOKUP("LULUCF|PM25|Infant mortality", US_national_yearly!$D:$AM, 34, FALSE) / VLOOKUP("LULUCF|PM25|Infant mortality", US_national_yearly!$D:$AM, 10, FALSE), 1)</f>
        <v>2.7515464711901538E-6</v>
      </c>
      <c r="AA3" s="7">
        <f>$B3 * IFERROR(VLOOKUP("LULUCF|PM25|Infant mortality", US_national_yearly!$D:$AM, 35, FALSE) / VLOOKUP("LULUCF|PM25|Infant mortality", US_national_yearly!$D:$AM, 10, FALSE), 1)</f>
        <v>2.7347638872637703E-6</v>
      </c>
      <c r="AB3" s="7">
        <f>$B3 * IFERROR(VLOOKUP("LULUCF|PM25|Infant mortality", US_national_yearly!$D:$AM, 36, FALSE) / VLOOKUP("LULUCF|PM25|Infant mortality", US_national_yearly!$D:$AM, 10, FALSE), 1)</f>
        <v>2.7179813033373873E-6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9.1993432969689655E-3</v>
      </c>
      <c r="C6" s="7">
        <f>$B6 * IFERROR(VLOOKUP("LULUCF|PM25|Asthma symptoms cough", US_national_yearly!$D:$AM, 11, FALSE) / VLOOKUP("LULUCF|PM25|Asthma symptoms cough", US_national_yearly!$D:$AM, 10, FALSE), 1)</f>
        <v>9.1993432969689655E-3</v>
      </c>
      <c r="D6" s="7">
        <f>$B6 * IFERROR(VLOOKUP("LULUCF|PM25|Asthma symptoms cough", US_national_yearly!$D:$AM, 12, FALSE) / VLOOKUP("LULUCF|PM25|Asthma symptoms cough", US_national_yearly!$D:$AM, 10, FALSE), 1)</f>
        <v>9.1993432969689655E-3</v>
      </c>
      <c r="E6" s="7">
        <f>$B6 * IFERROR(VLOOKUP("LULUCF|PM25|Asthma symptoms cough", US_national_yearly!$D:$AM, 13, FALSE) / VLOOKUP("LULUCF|PM25|Asthma symptoms cough", US_national_yearly!$D:$AM, 10, FALSE), 1)</f>
        <v>9.1993432969689655E-3</v>
      </c>
      <c r="F6" s="7">
        <f>$B6 * IFERROR(VLOOKUP("LULUCF|PM25|Asthma symptoms cough", US_national_yearly!$D:$AM, 14, FALSE) / VLOOKUP("LULUCF|PM25|Asthma symptoms cough", US_national_yearly!$D:$AM, 10, FALSE), 1)</f>
        <v>9.1993432969689655E-3</v>
      </c>
      <c r="G6" s="7">
        <f>$B6 * IFERROR(VLOOKUP("LULUCF|PM25|Asthma symptoms cough", US_national_yearly!$D:$AM, 15, FALSE) / VLOOKUP("LULUCF|PM25|Asthma symptoms cough", US_national_yearly!$D:$AM, 10, FALSE), 1)</f>
        <v>9.1993432969689655E-3</v>
      </c>
      <c r="H6" s="7">
        <f>$B6 * IFERROR(VLOOKUP("LULUCF|PM25|Asthma symptoms cough", US_national_yearly!$D:$AM, 16, FALSE) / VLOOKUP("LULUCF|PM25|Asthma symptoms cough", US_national_yearly!$D:$AM, 10, FALSE), 1)</f>
        <v>9.1993432969689655E-3</v>
      </c>
      <c r="I6" s="7">
        <f>$B6 * IFERROR(VLOOKUP("LULUCF|PM25|Asthma symptoms cough", US_national_yearly!$D:$AM, 17, FALSE) / VLOOKUP("LULUCF|PM25|Asthma symptoms cough", US_national_yearly!$D:$AM, 10, FALSE), 1)</f>
        <v>9.1993432969689655E-3</v>
      </c>
      <c r="J6" s="7">
        <f>$B6 * IFERROR(VLOOKUP("LULUCF|PM25|Asthma symptoms cough", US_national_yearly!$D:$AM, 18, FALSE) / VLOOKUP("LULUCF|PM25|Asthma symptoms cough", US_national_yearly!$D:$AM, 10, FALSE), 1)</f>
        <v>9.1993432969689655E-3</v>
      </c>
      <c r="K6" s="7">
        <f>$B6 * IFERROR(VLOOKUP("LULUCF|PM25|Asthma symptoms cough", US_national_yearly!$D:$AM, 19, FALSE) / VLOOKUP("LULUCF|PM25|Asthma symptoms cough", US_national_yearly!$D:$AM, 10, FALSE), 1)</f>
        <v>9.1993432969689655E-3</v>
      </c>
      <c r="L6" s="7">
        <f>$B6 * IFERROR(VLOOKUP("LULUCF|PM25|Asthma symptoms cough", US_national_yearly!$D:$AM, 20, FALSE) / VLOOKUP("LULUCF|PM25|Asthma symptoms cough", US_national_yearly!$D:$AM, 10, FALSE), 1)</f>
        <v>9.1993432969689655E-3</v>
      </c>
      <c r="M6" s="7">
        <f>$B6 * IFERROR(VLOOKUP("LULUCF|PM25|Asthma symptoms cough", US_national_yearly!$D:$AM, 21, FALSE) / VLOOKUP("LULUCF|PM25|Asthma symptoms cough", US_national_yearly!$D:$AM, 10, FALSE), 1)</f>
        <v>9.1993432969689655E-3</v>
      </c>
      <c r="N6" s="7">
        <f>$B6 * IFERROR(VLOOKUP("LULUCF|PM25|Asthma symptoms cough", US_national_yearly!$D:$AM, 22, FALSE) / VLOOKUP("LULUCF|PM25|Asthma symptoms cough", US_national_yearly!$D:$AM, 10, FALSE), 1)</f>
        <v>9.1993432969689655E-3</v>
      </c>
      <c r="O6" s="7">
        <f>$B6 * IFERROR(VLOOKUP("LULUCF|PM25|Asthma symptoms cough", US_national_yearly!$D:$AM, 23, FALSE) / VLOOKUP("LULUCF|PM25|Asthma symptoms cough", US_national_yearly!$D:$AM, 10, FALSE), 1)</f>
        <v>9.1993432969689655E-3</v>
      </c>
      <c r="P6" s="7">
        <f>$B6 * IFERROR(VLOOKUP("LULUCF|PM25|Asthma symptoms cough", US_national_yearly!$D:$AM, 24, FALSE) / VLOOKUP("LULUCF|PM25|Asthma symptoms cough", US_national_yearly!$D:$AM, 10, FALSE), 1)</f>
        <v>9.1993432969689655E-3</v>
      </c>
      <c r="Q6" s="7">
        <f>$B6 * IFERROR(VLOOKUP("LULUCF|PM25|Asthma symptoms cough", US_national_yearly!$D:$AM, 25, FALSE) / VLOOKUP("LULUCF|PM25|Asthma symptoms cough", US_national_yearly!$D:$AM, 10, FALSE), 1)</f>
        <v>9.1993432969689655E-3</v>
      </c>
      <c r="R6" s="7">
        <f>$B6 * IFERROR(VLOOKUP("LULUCF|PM25|Asthma symptoms cough", US_national_yearly!$D:$AM, 26, FALSE) / VLOOKUP("LULUCF|PM25|Asthma symptoms cough", US_national_yearly!$D:$AM, 10, FALSE), 1)</f>
        <v>9.1993432969689655E-3</v>
      </c>
      <c r="S6" s="7">
        <f>$B6 * IFERROR(VLOOKUP("LULUCF|PM25|Asthma symptoms cough", US_national_yearly!$D:$AM, 27, FALSE) / VLOOKUP("LULUCF|PM25|Asthma symptoms cough", US_national_yearly!$D:$AM, 10, FALSE), 1)</f>
        <v>9.1993432969689655E-3</v>
      </c>
      <c r="T6" s="7">
        <f>$B6 * IFERROR(VLOOKUP("LULUCF|PM25|Asthma symptoms cough", US_national_yearly!$D:$AM, 28, FALSE) / VLOOKUP("LULUCF|PM25|Asthma symptoms cough", US_national_yearly!$D:$AM, 10, FALSE), 1)</f>
        <v>9.1993432969689655E-3</v>
      </c>
      <c r="U6" s="7">
        <f>$B6 * IFERROR(VLOOKUP("LULUCF|PM25|Asthma symptoms cough", US_national_yearly!$D:$AM, 29, FALSE) / VLOOKUP("LULUCF|PM25|Asthma symptoms cough", US_national_yearly!$D:$AM, 10, FALSE), 1)</f>
        <v>9.1993432969689655E-3</v>
      </c>
      <c r="V6" s="7">
        <f>$B6 * IFERROR(VLOOKUP("LULUCF|PM25|Asthma symptoms cough", US_national_yearly!$D:$AM, 30, FALSE) / VLOOKUP("LULUCF|PM25|Asthma symptoms cough", US_national_yearly!$D:$AM, 10, FALSE), 1)</f>
        <v>9.1993432969689655E-3</v>
      </c>
      <c r="W6" s="7">
        <f>$B6 * IFERROR(VLOOKUP("LULUCF|PM25|Asthma symptoms cough", US_national_yearly!$D:$AM, 31, FALSE) / VLOOKUP("LULUCF|PM25|Asthma symptoms cough", US_national_yearly!$D:$AM, 10, FALSE), 1)</f>
        <v>9.1993432969689655E-3</v>
      </c>
      <c r="X6" s="7">
        <f>$B6 * IFERROR(VLOOKUP("LULUCF|PM25|Asthma symptoms cough", US_national_yearly!$D:$AM, 32, FALSE) / VLOOKUP("LULUCF|PM25|Asthma symptoms cough", US_national_yearly!$D:$AM, 10, FALSE), 1)</f>
        <v>9.1993432969689655E-3</v>
      </c>
      <c r="Y6" s="7">
        <f>$B6 * IFERROR(VLOOKUP("LULUCF|PM25|Asthma symptoms cough", US_national_yearly!$D:$AM, 33, FALSE) / VLOOKUP("LULUCF|PM25|Asthma symptoms cough", US_national_yearly!$D:$AM, 10, FALSE), 1)</f>
        <v>9.1993432969689655E-3</v>
      </c>
      <c r="Z6" s="7">
        <f>$B6 * IFERROR(VLOOKUP("LULUCF|PM25|Asthma symptoms cough", US_national_yearly!$D:$AM, 34, FALSE) / VLOOKUP("LULUCF|PM25|Asthma symptoms cough", US_national_yearly!$D:$AM, 10, FALSE), 1)</f>
        <v>9.1993432969689655E-3</v>
      </c>
      <c r="AA6" s="7">
        <f>$B6 * IFERROR(VLOOKUP("LULUCF|PM25|Asthma symptoms cough", US_national_yearly!$D:$AM, 35, FALSE) / VLOOKUP("LULUCF|PM25|Asthma symptoms cough", US_national_yearly!$D:$AM, 10, FALSE), 1)</f>
        <v>9.1993432969689655E-3</v>
      </c>
      <c r="AB6" s="7">
        <f>$B6 * IFERROR(VLOOKUP("LULUCF|PM25|Asthma symptoms cough", US_national_yearly!$D:$AM, 36, FALSE) / VLOOKUP("LULUCF|PM25|Asthma symptoms cough", US_national_yearly!$D:$AM, 10, FALSE), 1)</f>
        <v>9.1993432969689655E-3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1.2387948382590819E-2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1.2387948382590819E-2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1.2387948382590819E-2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1.2387948382590819E-2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1.2387948382590819E-2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1.2387948382590819E-2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1.2387948382590819E-2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1.2387948382590819E-2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1.2387948382590819E-2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1.2387948382590819E-2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1.2387948382590819E-2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1.2387948382590819E-2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1.2387948382590819E-2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1.2387948382590819E-2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1.2387948382590819E-2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1.2387948382590819E-2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1.2387948382590819E-2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1.2387948382590819E-2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1.2387948382590819E-2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1.2387948382590819E-2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1.2387948382590819E-2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1.2387948382590819E-2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1.2387948382590819E-2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1.2387948382590819E-2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1.2387948382590819E-2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1.2387948382590819E-2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1.2387948382590819E-2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1.8927763252480946E-2</v>
      </c>
      <c r="C8" s="7">
        <f>$B8 * IFERROR(VLOOKUP("LULUCF|PM25|Asthma symptoms wheeze", US_national_yearly!$D:$AM, 11, FALSE) / VLOOKUP("LULUCF|PM25|Asthma symptoms wheeze", US_national_yearly!$D:$AM, 10, FALSE), 1)</f>
        <v>1.8927763252480946E-2</v>
      </c>
      <c r="D8" s="7">
        <f>$B8 * IFERROR(VLOOKUP("LULUCF|PM25|Asthma symptoms wheeze", US_national_yearly!$D:$AM, 12, FALSE) / VLOOKUP("LULUCF|PM25|Asthma symptoms wheeze", US_national_yearly!$D:$AM, 10, FALSE), 1)</f>
        <v>1.8927763252480946E-2</v>
      </c>
      <c r="E8" s="7">
        <f>$B8 * IFERROR(VLOOKUP("LULUCF|PM25|Asthma symptoms wheeze", US_national_yearly!$D:$AM, 13, FALSE) / VLOOKUP("LULUCF|PM25|Asthma symptoms wheeze", US_national_yearly!$D:$AM, 10, FALSE), 1)</f>
        <v>1.8927763252480946E-2</v>
      </c>
      <c r="F8" s="7">
        <f>$B8 * IFERROR(VLOOKUP("LULUCF|PM25|Asthma symptoms wheeze", US_national_yearly!$D:$AM, 14, FALSE) / VLOOKUP("LULUCF|PM25|Asthma symptoms wheeze", US_national_yearly!$D:$AM, 10, FALSE), 1)</f>
        <v>1.8927763252480946E-2</v>
      </c>
      <c r="G8" s="7">
        <f>$B8 * IFERROR(VLOOKUP("LULUCF|PM25|Asthma symptoms wheeze", US_national_yearly!$D:$AM, 15, FALSE) / VLOOKUP("LULUCF|PM25|Asthma symptoms wheeze", US_national_yearly!$D:$AM, 10, FALSE), 1)</f>
        <v>1.8927763252480946E-2</v>
      </c>
      <c r="H8" s="7">
        <f>$B8 * IFERROR(VLOOKUP("LULUCF|PM25|Asthma symptoms wheeze", US_national_yearly!$D:$AM, 16, FALSE) / VLOOKUP("LULUCF|PM25|Asthma symptoms wheeze", US_national_yearly!$D:$AM, 10, FALSE), 1)</f>
        <v>1.8927763252480946E-2</v>
      </c>
      <c r="I8" s="7">
        <f>$B8 * IFERROR(VLOOKUP("LULUCF|PM25|Asthma symptoms wheeze", US_national_yearly!$D:$AM, 17, FALSE) / VLOOKUP("LULUCF|PM25|Asthma symptoms wheeze", US_national_yearly!$D:$AM, 10, FALSE), 1)</f>
        <v>1.8927763252480946E-2</v>
      </c>
      <c r="J8" s="7">
        <f>$B8 * IFERROR(VLOOKUP("LULUCF|PM25|Asthma symptoms wheeze", US_national_yearly!$D:$AM, 18, FALSE) / VLOOKUP("LULUCF|PM25|Asthma symptoms wheeze", US_national_yearly!$D:$AM, 10, FALSE), 1)</f>
        <v>1.8927763252480946E-2</v>
      </c>
      <c r="K8" s="7">
        <f>$B8 * IFERROR(VLOOKUP("LULUCF|PM25|Asthma symptoms wheeze", US_national_yearly!$D:$AM, 19, FALSE) / VLOOKUP("LULUCF|PM25|Asthma symptoms wheeze", US_national_yearly!$D:$AM, 10, FALSE), 1)</f>
        <v>1.8927763252480946E-2</v>
      </c>
      <c r="L8" s="7">
        <f>$B8 * IFERROR(VLOOKUP("LULUCF|PM25|Asthma symptoms wheeze", US_national_yearly!$D:$AM, 20, FALSE) / VLOOKUP("LULUCF|PM25|Asthma symptoms wheeze", US_national_yearly!$D:$AM, 10, FALSE), 1)</f>
        <v>1.8927763252480946E-2</v>
      </c>
      <c r="M8" s="7">
        <f>$B8 * IFERROR(VLOOKUP("LULUCF|PM25|Asthma symptoms wheeze", US_national_yearly!$D:$AM, 21, FALSE) / VLOOKUP("LULUCF|PM25|Asthma symptoms wheeze", US_national_yearly!$D:$AM, 10, FALSE), 1)</f>
        <v>1.8927763252480946E-2</v>
      </c>
      <c r="N8" s="7">
        <f>$B8 * IFERROR(VLOOKUP("LULUCF|PM25|Asthma symptoms wheeze", US_national_yearly!$D:$AM, 22, FALSE) / VLOOKUP("LULUCF|PM25|Asthma symptoms wheeze", US_national_yearly!$D:$AM, 10, FALSE), 1)</f>
        <v>1.8927763252480946E-2</v>
      </c>
      <c r="O8" s="7">
        <f>$B8 * IFERROR(VLOOKUP("LULUCF|PM25|Asthma symptoms wheeze", US_national_yearly!$D:$AM, 23, FALSE) / VLOOKUP("LULUCF|PM25|Asthma symptoms wheeze", US_national_yearly!$D:$AM, 10, FALSE), 1)</f>
        <v>1.8927763252480946E-2</v>
      </c>
      <c r="P8" s="7">
        <f>$B8 * IFERROR(VLOOKUP("LULUCF|PM25|Asthma symptoms wheeze", US_national_yearly!$D:$AM, 24, FALSE) / VLOOKUP("LULUCF|PM25|Asthma symptoms wheeze", US_national_yearly!$D:$AM, 10, FALSE), 1)</f>
        <v>1.8927763252480946E-2</v>
      </c>
      <c r="Q8" s="7">
        <f>$B8 * IFERROR(VLOOKUP("LULUCF|PM25|Asthma symptoms wheeze", US_national_yearly!$D:$AM, 25, FALSE) / VLOOKUP("LULUCF|PM25|Asthma symptoms wheeze", US_national_yearly!$D:$AM, 10, FALSE), 1)</f>
        <v>1.8927763252480946E-2</v>
      </c>
      <c r="R8" s="7">
        <f>$B8 * IFERROR(VLOOKUP("LULUCF|PM25|Asthma symptoms wheeze", US_national_yearly!$D:$AM, 26, FALSE) / VLOOKUP("LULUCF|PM25|Asthma symptoms wheeze", US_national_yearly!$D:$AM, 10, FALSE), 1)</f>
        <v>1.8927763252480946E-2</v>
      </c>
      <c r="S8" s="7">
        <f>$B8 * IFERROR(VLOOKUP("LULUCF|PM25|Asthma symptoms wheeze", US_national_yearly!$D:$AM, 27, FALSE) / VLOOKUP("LULUCF|PM25|Asthma symptoms wheeze", US_national_yearly!$D:$AM, 10, FALSE), 1)</f>
        <v>1.8927763252480946E-2</v>
      </c>
      <c r="T8" s="7">
        <f>$B8 * IFERROR(VLOOKUP("LULUCF|PM25|Asthma symptoms wheeze", US_national_yearly!$D:$AM, 28, FALSE) / VLOOKUP("LULUCF|PM25|Asthma symptoms wheeze", US_national_yearly!$D:$AM, 10, FALSE), 1)</f>
        <v>1.8927763252480946E-2</v>
      </c>
      <c r="U8" s="7">
        <f>$B8 * IFERROR(VLOOKUP("LULUCF|PM25|Asthma symptoms wheeze", US_national_yearly!$D:$AM, 29, FALSE) / VLOOKUP("LULUCF|PM25|Asthma symptoms wheeze", US_national_yearly!$D:$AM, 10, FALSE), 1)</f>
        <v>1.8927763252480946E-2</v>
      </c>
      <c r="V8" s="7">
        <f>$B8 * IFERROR(VLOOKUP("LULUCF|PM25|Asthma symptoms wheeze", US_national_yearly!$D:$AM, 30, FALSE) / VLOOKUP("LULUCF|PM25|Asthma symptoms wheeze", US_national_yearly!$D:$AM, 10, FALSE), 1)</f>
        <v>1.8927763252480946E-2</v>
      </c>
      <c r="W8" s="7">
        <f>$B8 * IFERROR(VLOOKUP("LULUCF|PM25|Asthma symptoms wheeze", US_national_yearly!$D:$AM, 31, FALSE) / VLOOKUP("LULUCF|PM25|Asthma symptoms wheeze", US_national_yearly!$D:$AM, 10, FALSE), 1)</f>
        <v>1.8927763252480946E-2</v>
      </c>
      <c r="X8" s="7">
        <f>$B8 * IFERROR(VLOOKUP("LULUCF|PM25|Asthma symptoms wheeze", US_national_yearly!$D:$AM, 32, FALSE) / VLOOKUP("LULUCF|PM25|Asthma symptoms wheeze", US_national_yearly!$D:$AM, 10, FALSE), 1)</f>
        <v>1.8927763252480946E-2</v>
      </c>
      <c r="Y8" s="7">
        <f>$B8 * IFERROR(VLOOKUP("LULUCF|PM25|Asthma symptoms wheeze", US_national_yearly!$D:$AM, 33, FALSE) / VLOOKUP("LULUCF|PM25|Asthma symptoms wheeze", US_national_yearly!$D:$AM, 10, FALSE), 1)</f>
        <v>1.8927763252480946E-2</v>
      </c>
      <c r="Z8" s="7">
        <f>$B8 * IFERROR(VLOOKUP("LULUCF|PM25|Asthma symptoms wheeze", US_national_yearly!$D:$AM, 34, FALSE) / VLOOKUP("LULUCF|PM25|Asthma symptoms wheeze", US_national_yearly!$D:$AM, 10, FALSE), 1)</f>
        <v>1.8927763252480946E-2</v>
      </c>
      <c r="AA8" s="7">
        <f>$B8 * IFERROR(VLOOKUP("LULUCF|PM25|Asthma symptoms wheeze", US_national_yearly!$D:$AM, 35, FALSE) / VLOOKUP("LULUCF|PM25|Asthma symptoms wheeze", US_national_yearly!$D:$AM, 10, FALSE), 1)</f>
        <v>1.8927763252480946E-2</v>
      </c>
      <c r="AB8" s="7">
        <f>$B8 * IFERROR(VLOOKUP("LULUCF|PM25|Asthma symptoms wheeze", US_national_yearly!$D:$AM, 36, FALSE) / VLOOKUP("LULUCF|PM25|Asthma symptoms wheeze", US_national_yearly!$D:$AM, 10, FALSE), 1)</f>
        <v>1.8927763252480946E-2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3.9449216456175797E-4</v>
      </c>
      <c r="C12" s="7">
        <f>$B12 * IFERROR(VLOOKUP("LULUCF|PM25|Respiratory hospital admissions", US_national_yearly!$D:$AM, 11, FALSE) / VLOOKUP("LULUCF|PM25|Respiratory hospital admissions", US_national_yearly!$D:$AM, 10, FALSE), 1)</f>
        <v>3.9675323464621637E-4</v>
      </c>
      <c r="D12" s="7">
        <f>$B12 * IFERROR(VLOOKUP("LULUCF|PM25|Respiratory hospital admissions", US_national_yearly!$D:$AM, 12, FALSE) / VLOOKUP("LULUCF|PM25|Respiratory hospital admissions", US_national_yearly!$D:$AM, 10, FALSE), 1)</f>
        <v>3.9901430473067467E-4</v>
      </c>
      <c r="E12" s="7">
        <f>$B12 * IFERROR(VLOOKUP("LULUCF|PM25|Respiratory hospital admissions", US_national_yearly!$D:$AM, 13, FALSE) / VLOOKUP("LULUCF|PM25|Respiratory hospital admissions", US_national_yearly!$D:$AM, 10, FALSE), 1)</f>
        <v>4.0127537481513307E-4</v>
      </c>
      <c r="F12" s="7">
        <f>$B12 * IFERROR(VLOOKUP("LULUCF|PM25|Respiratory hospital admissions", US_national_yearly!$D:$AM, 14, FALSE) / VLOOKUP("LULUCF|PM25|Respiratory hospital admissions", US_national_yearly!$D:$AM, 10, FALSE), 1)</f>
        <v>4.0353644489959136E-4</v>
      </c>
      <c r="G12" s="7">
        <f>$B12 * IFERROR(VLOOKUP("LULUCF|PM25|Respiratory hospital admissions", US_national_yearly!$D:$AM, 15, FALSE) / VLOOKUP("LULUCF|PM25|Respiratory hospital admissions", US_national_yearly!$D:$AM, 10, FALSE), 1)</f>
        <v>4.0597849703737418E-4</v>
      </c>
      <c r="H12" s="7">
        <f>$B12 * IFERROR(VLOOKUP("LULUCF|PM25|Respiratory hospital admissions", US_national_yearly!$D:$AM, 16, FALSE) / VLOOKUP("LULUCF|PM25|Respiratory hospital admissions", US_national_yearly!$D:$AM, 10, FALSE), 1)</f>
        <v>4.0842054917515701E-4</v>
      </c>
      <c r="I12" s="7">
        <f>$B12 * IFERROR(VLOOKUP("LULUCF|PM25|Respiratory hospital admissions", US_national_yearly!$D:$AM, 17, FALSE) / VLOOKUP("LULUCF|PM25|Respiratory hospital admissions", US_national_yearly!$D:$AM, 10, FALSE), 1)</f>
        <v>4.1075383721067132E-4</v>
      </c>
      <c r="J12" s="7">
        <f>$B12 * IFERROR(VLOOKUP("LULUCF|PM25|Respiratory hospital admissions", US_national_yearly!$D:$AM, 18, FALSE) / VLOOKUP("LULUCF|PM25|Respiratory hospital admissions", US_national_yearly!$D:$AM, 10, FALSE), 1)</f>
        <v>4.1308712524618579E-4</v>
      </c>
      <c r="K12" s="7">
        <f>$B12 * IFERROR(VLOOKUP("LULUCF|PM25|Respiratory hospital admissions", US_national_yearly!$D:$AM, 19, FALSE) / VLOOKUP("LULUCF|PM25|Respiratory hospital admissions", US_national_yearly!$D:$AM, 10, FALSE), 1)</f>
        <v>4.1542041328170021E-4</v>
      </c>
      <c r="L12" s="7">
        <f>$B12 * IFERROR(VLOOKUP("LULUCF|PM25|Respiratory hospital admissions", US_national_yearly!$D:$AM, 20, FALSE) / VLOOKUP("LULUCF|PM25|Respiratory hospital admissions", US_national_yearly!$D:$AM, 10, FALSE), 1)</f>
        <v>4.1775370131721468E-4</v>
      </c>
      <c r="M12" s="7">
        <f>$B12 * IFERROR(VLOOKUP("LULUCF|PM25|Respiratory hospital admissions", US_national_yearly!$D:$AM, 21, FALSE) / VLOOKUP("LULUCF|PM25|Respiratory hospital admissions", US_national_yearly!$D:$AM, 10, FALSE), 1)</f>
        <v>4.2008698935272899E-4</v>
      </c>
      <c r="N12" s="7">
        <f>$B12 * IFERROR(VLOOKUP("LULUCF|PM25|Respiratory hospital admissions", US_national_yearly!$D:$AM, 22, FALSE) / VLOOKUP("LULUCF|PM25|Respiratory hospital admissions", US_national_yearly!$D:$AM, 10, FALSE), 1)</f>
        <v>4.2176165826543022E-4</v>
      </c>
      <c r="O12" s="7">
        <f>$B12 * IFERROR(VLOOKUP("LULUCF|PM25|Respiratory hospital admissions", US_national_yearly!$D:$AM, 23, FALSE) / VLOOKUP("LULUCF|PM25|Respiratory hospital admissions", US_national_yearly!$D:$AM, 10, FALSE), 1)</f>
        <v>4.2343632717813134E-4</v>
      </c>
      <c r="P12" s="7">
        <f>$B12 * IFERROR(VLOOKUP("LULUCF|PM25|Respiratory hospital admissions", US_national_yearly!$D:$AM, 24, FALSE) / VLOOKUP("LULUCF|PM25|Respiratory hospital admissions", US_national_yearly!$D:$AM, 10, FALSE), 1)</f>
        <v>4.2511099609083235E-4</v>
      </c>
      <c r="Q12" s="7">
        <f>$B12 * IFERROR(VLOOKUP("LULUCF|PM25|Respiratory hospital admissions", US_national_yearly!$D:$AM, 25, FALSE) / VLOOKUP("LULUCF|PM25|Respiratory hospital admissions", US_national_yearly!$D:$AM, 10, FALSE), 1)</f>
        <v>4.2678566500353347E-4</v>
      </c>
      <c r="R12" s="7">
        <f>$B12 * IFERROR(VLOOKUP("LULUCF|PM25|Respiratory hospital admissions", US_national_yearly!$D:$AM, 26, FALSE) / VLOOKUP("LULUCF|PM25|Respiratory hospital admissions", US_national_yearly!$D:$AM, 10, FALSE), 1)</f>
        <v>4.284603339162347E-4</v>
      </c>
      <c r="S12" s="7">
        <f>$B12 * IFERROR(VLOOKUP("LULUCF|PM25|Respiratory hospital admissions", US_national_yearly!$D:$AM, 27, FALSE) / VLOOKUP("LULUCF|PM25|Respiratory hospital admissions", US_national_yearly!$D:$AM, 10, FALSE), 1)</f>
        <v>4.3005483938868191E-4</v>
      </c>
      <c r="T12" s="7">
        <f>$B12 * IFERROR(VLOOKUP("LULUCF|PM25|Respiratory hospital admissions", US_national_yearly!$D:$AM, 28, FALSE) / VLOOKUP("LULUCF|PM25|Respiratory hospital admissions", US_national_yearly!$D:$AM, 10, FALSE), 1)</f>
        <v>4.3164934486112922E-4</v>
      </c>
      <c r="U12" s="7">
        <f>$B12 * IFERROR(VLOOKUP("LULUCF|PM25|Respiratory hospital admissions", US_national_yearly!$D:$AM, 29, FALSE) / VLOOKUP("LULUCF|PM25|Respiratory hospital admissions", US_national_yearly!$D:$AM, 10, FALSE), 1)</f>
        <v>4.3324385033357649E-4</v>
      </c>
      <c r="V12" s="7">
        <f>$B12 * IFERROR(VLOOKUP("LULUCF|PM25|Respiratory hospital admissions", US_national_yearly!$D:$AM, 30, FALSE) / VLOOKUP("LULUCF|PM25|Respiratory hospital admissions", US_national_yearly!$D:$AM, 10, FALSE), 1)</f>
        <v>4.348383558060237E-4</v>
      </c>
      <c r="W12" s="7">
        <f>$B12 * IFERROR(VLOOKUP("LULUCF|PM25|Respiratory hospital admissions", US_national_yearly!$D:$AM, 31, FALSE) / VLOOKUP("LULUCF|PM25|Respiratory hospital admissions", US_national_yearly!$D:$AM, 10, FALSE), 1)</f>
        <v>4.364328612784709E-4</v>
      </c>
      <c r="X12" s="7">
        <f>$B12 * IFERROR(VLOOKUP("LULUCF|PM25|Respiratory hospital admissions", US_national_yearly!$D:$AM, 32, FALSE) / VLOOKUP("LULUCF|PM25|Respiratory hospital admissions", US_national_yearly!$D:$AM, 10, FALSE), 1)</f>
        <v>4.3796679588274835E-4</v>
      </c>
      <c r="Y12" s="7">
        <f>$B12 * IFERROR(VLOOKUP("LULUCF|PM25|Respiratory hospital admissions", US_national_yearly!$D:$AM, 33, FALSE) / VLOOKUP("LULUCF|PM25|Respiratory hospital admissions", US_national_yearly!$D:$AM, 10, FALSE), 1)</f>
        <v>4.3950073048702558E-4</v>
      </c>
      <c r="Z12" s="7">
        <f>$B12 * IFERROR(VLOOKUP("LULUCF|PM25|Respiratory hospital admissions", US_national_yearly!$D:$AM, 34, FALSE) / VLOOKUP("LULUCF|PM25|Respiratory hospital admissions", US_national_yearly!$D:$AM, 10, FALSE), 1)</f>
        <v>4.4103466509130292E-4</v>
      </c>
      <c r="AA12" s="7">
        <f>$B12 * IFERROR(VLOOKUP("LULUCF|PM25|Respiratory hospital admissions", US_national_yearly!$D:$AM, 35, FALSE) / VLOOKUP("LULUCF|PM25|Respiratory hospital admissions", US_national_yearly!$D:$AM, 10, FALSE), 1)</f>
        <v>4.4256859969558015E-4</v>
      </c>
      <c r="AB12" s="7">
        <f>$B12 * IFERROR(VLOOKUP("LULUCF|PM25|Respiratory hospital admissions", US_national_yearly!$D:$AM, 36, FALSE) / VLOOKUP("LULUCF|PM25|Respiratory hospital admissions", US_national_yearly!$D:$AM, 10, FALSE), 1)</f>
        <v>4.4410253429985749E-4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2.3223371893322901E-3</v>
      </c>
      <c r="C13" s="7">
        <f>$B13 * IFERROR(VLOOKUP("LULUCF|PM25|Non-fatal heart attacks", US_national_yearly!$D:$AM, 11, FALSE) / VLOOKUP("LULUCF|PM25|Non-fatal heart attacks", US_national_yearly!$D:$AM, 10, FALSE), 1)</f>
        <v>2.3898536942037509E-3</v>
      </c>
      <c r="D13" s="7">
        <f>$B13 * IFERROR(VLOOKUP("LULUCF|PM25|Non-fatal heart attacks", US_national_yearly!$D:$AM, 12, FALSE) / VLOOKUP("LULUCF|PM25|Non-fatal heart attacks", US_national_yearly!$D:$AM, 10, FALSE), 1)</f>
        <v>2.4573701990752116E-3</v>
      </c>
      <c r="E13" s="7">
        <f>$B13 * IFERROR(VLOOKUP("LULUCF|PM25|Non-fatal heart attacks", US_national_yearly!$D:$AM, 13, FALSE) / VLOOKUP("LULUCF|PM25|Non-fatal heart attacks", US_national_yearly!$D:$AM, 10, FALSE), 1)</f>
        <v>2.5248867039466718E-3</v>
      </c>
      <c r="F13" s="7">
        <f>$B13 * IFERROR(VLOOKUP("LULUCF|PM25|Non-fatal heart attacks", US_national_yearly!$D:$AM, 14, FALSE) / VLOOKUP("LULUCF|PM25|Non-fatal heart attacks", US_national_yearly!$D:$AM, 10, FALSE), 1)</f>
        <v>2.592403208818133E-3</v>
      </c>
      <c r="G13" s="7">
        <f>$B13 * IFERROR(VLOOKUP("LULUCF|PM25|Non-fatal heart attacks", US_national_yearly!$D:$AM, 15, FALSE) / VLOOKUP("LULUCF|PM25|Non-fatal heart attacks", US_national_yearly!$D:$AM, 10, FALSE), 1)</f>
        <v>2.6560755412226079E-3</v>
      </c>
      <c r="H13" s="7">
        <f>$B13 * IFERROR(VLOOKUP("LULUCF|PM25|Non-fatal heart attacks", US_national_yearly!$D:$AM, 16, FALSE) / VLOOKUP("LULUCF|PM25|Non-fatal heart attacks", US_national_yearly!$D:$AM, 10, FALSE), 1)</f>
        <v>2.7197478736270828E-3</v>
      </c>
      <c r="I13" s="7">
        <f>$B13 * IFERROR(VLOOKUP("LULUCF|PM25|Non-fatal heart attacks", US_national_yearly!$D:$AM, 17, FALSE) / VLOOKUP("LULUCF|PM25|Non-fatal heart attacks", US_national_yearly!$D:$AM, 10, FALSE), 1)</f>
        <v>2.770919241592955E-3</v>
      </c>
      <c r="J13" s="7">
        <f>$B13 * IFERROR(VLOOKUP("LULUCF|PM25|Non-fatal heart attacks", US_national_yearly!$D:$AM, 18, FALSE) / VLOOKUP("LULUCF|PM25|Non-fatal heart attacks", US_national_yearly!$D:$AM, 10, FALSE), 1)</f>
        <v>2.8220906095588276E-3</v>
      </c>
      <c r="K13" s="7">
        <f>$B13 * IFERROR(VLOOKUP("LULUCF|PM25|Non-fatal heart attacks", US_national_yearly!$D:$AM, 19, FALSE) / VLOOKUP("LULUCF|PM25|Non-fatal heart attacks", US_national_yearly!$D:$AM, 10, FALSE), 1)</f>
        <v>2.8732619775247007E-3</v>
      </c>
      <c r="L13" s="7">
        <f>$B13 * IFERROR(VLOOKUP("LULUCF|PM25|Non-fatal heart attacks", US_national_yearly!$D:$AM, 20, FALSE) / VLOOKUP("LULUCF|PM25|Non-fatal heart attacks", US_national_yearly!$D:$AM, 10, FALSE), 1)</f>
        <v>2.9244333454905734E-3</v>
      </c>
      <c r="M13" s="7">
        <f>$B13 * IFERROR(VLOOKUP("LULUCF|PM25|Non-fatal heart attacks", US_national_yearly!$D:$AM, 21, FALSE) / VLOOKUP("LULUCF|PM25|Non-fatal heart attacks", US_national_yearly!$D:$AM, 10, FALSE), 1)</f>
        <v>2.975604713456446E-3</v>
      </c>
      <c r="N13" s="7">
        <f>$B13 * IFERROR(VLOOKUP("LULUCF|PM25|Non-fatal heart attacks", US_national_yearly!$D:$AM, 22, FALSE) / VLOOKUP("LULUCF|PM25|Non-fatal heart attacks", US_national_yearly!$D:$AM, 10, FALSE), 1)</f>
        <v>3.0086051928531585E-3</v>
      </c>
      <c r="O13" s="7">
        <f>$B13 * IFERROR(VLOOKUP("LULUCF|PM25|Non-fatal heart attacks", US_national_yearly!$D:$AM, 23, FALSE) / VLOOKUP("LULUCF|PM25|Non-fatal heart attacks", US_national_yearly!$D:$AM, 10, FALSE), 1)</f>
        <v>3.0416056722498714E-3</v>
      </c>
      <c r="P13" s="7">
        <f>$B13 * IFERROR(VLOOKUP("LULUCF|PM25|Non-fatal heart attacks", US_national_yearly!$D:$AM, 24, FALSE) / VLOOKUP("LULUCF|PM25|Non-fatal heart attacks", US_national_yearly!$D:$AM, 10, FALSE), 1)</f>
        <v>3.0746061516465843E-3</v>
      </c>
      <c r="Q13" s="7">
        <f>$B13 * IFERROR(VLOOKUP("LULUCF|PM25|Non-fatal heart attacks", US_national_yearly!$D:$AM, 25, FALSE) / VLOOKUP("LULUCF|PM25|Non-fatal heart attacks", US_national_yearly!$D:$AM, 10, FALSE), 1)</f>
        <v>3.1076066310432963E-3</v>
      </c>
      <c r="R13" s="7">
        <f>$B13 * IFERROR(VLOOKUP("LULUCF|PM25|Non-fatal heart attacks", US_national_yearly!$D:$AM, 26, FALSE) / VLOOKUP("LULUCF|PM25|Non-fatal heart attacks", US_national_yearly!$D:$AM, 10, FALSE), 1)</f>
        <v>3.1406071104400093E-3</v>
      </c>
      <c r="S13" s="7">
        <f>$B13 * IFERROR(VLOOKUP("LULUCF|PM25|Non-fatal heart attacks", US_national_yearly!$D:$AM, 27, FALSE) / VLOOKUP("LULUCF|PM25|Non-fatal heart attacks", US_national_yearly!$D:$AM, 10, FALSE), 1)</f>
        <v>3.1579861057068189E-3</v>
      </c>
      <c r="T13" s="7">
        <f>$B13 * IFERROR(VLOOKUP("LULUCF|PM25|Non-fatal heart attacks", US_national_yearly!$D:$AM, 28, FALSE) / VLOOKUP("LULUCF|PM25|Non-fatal heart attacks", US_national_yearly!$D:$AM, 10, FALSE), 1)</f>
        <v>3.1753651009736299E-3</v>
      </c>
      <c r="U13" s="7">
        <f>$B13 * IFERROR(VLOOKUP("LULUCF|PM25|Non-fatal heart attacks", US_national_yearly!$D:$AM, 29, FALSE) / VLOOKUP("LULUCF|PM25|Non-fatal heart attacks", US_national_yearly!$D:$AM, 10, FALSE), 1)</f>
        <v>3.1927440962404405E-3</v>
      </c>
      <c r="V13" s="7">
        <f>$B13 * IFERROR(VLOOKUP("LULUCF|PM25|Non-fatal heart attacks", US_national_yearly!$D:$AM, 30, FALSE) / VLOOKUP("LULUCF|PM25|Non-fatal heart attacks", US_national_yearly!$D:$AM, 10, FALSE), 1)</f>
        <v>3.2101230915072506E-3</v>
      </c>
      <c r="W13" s="7">
        <f>$B13 * IFERROR(VLOOKUP("LULUCF|PM25|Non-fatal heart attacks", US_national_yearly!$D:$AM, 31, FALSE) / VLOOKUP("LULUCF|PM25|Non-fatal heart attacks", US_national_yearly!$D:$AM, 10, FALSE), 1)</f>
        <v>3.2275020867740612E-3</v>
      </c>
      <c r="X13" s="7">
        <f>$B13 * IFERROR(VLOOKUP("LULUCF|PM25|Non-fatal heart attacks", US_national_yearly!$D:$AM, 32, FALSE) / VLOOKUP("LULUCF|PM25|Non-fatal heart attacks", US_national_yearly!$D:$AM, 10, FALSE), 1)</f>
        <v>3.2406952571326394E-3</v>
      </c>
      <c r="Y13" s="7">
        <f>$B13 * IFERROR(VLOOKUP("LULUCF|PM25|Non-fatal heart attacks", US_national_yearly!$D:$AM, 33, FALSE) / VLOOKUP("LULUCF|PM25|Non-fatal heart attacks", US_national_yearly!$D:$AM, 10, FALSE), 1)</f>
        <v>3.2538884274912186E-3</v>
      </c>
      <c r="Z13" s="7">
        <f>$B13 * IFERROR(VLOOKUP("LULUCF|PM25|Non-fatal heart attacks", US_national_yearly!$D:$AM, 34, FALSE) / VLOOKUP("LULUCF|PM25|Non-fatal heart attacks", US_national_yearly!$D:$AM, 10, FALSE), 1)</f>
        <v>3.2670815978497968E-3</v>
      </c>
      <c r="AA13" s="7">
        <f>$B13 * IFERROR(VLOOKUP("LULUCF|PM25|Non-fatal heart attacks", US_national_yearly!$D:$AM, 35, FALSE) / VLOOKUP("LULUCF|PM25|Non-fatal heart attacks", US_national_yearly!$D:$AM, 10, FALSE), 1)</f>
        <v>3.2802747682083759E-3</v>
      </c>
      <c r="AB13" s="7">
        <f>$B13 * IFERROR(VLOOKUP("LULUCF|PM25|Non-fatal heart attacks", US_national_yearly!$D:$AM, 36, FALSE) / VLOOKUP("LULUCF|PM25|Non-fatal heart attacks", US_national_yearly!$D:$AM, 10, FALSE), 1)</f>
        <v>3.2934679385669542E-3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1.2672188183844826</v>
      </c>
      <c r="C14" s="7">
        <f>$B14 * IFERROR(VLOOKUP("LULUCF|PM25|Minor restricted activity days", US_national_yearly!$D:$AM, 11, FALSE) / VLOOKUP("LULUCF|PM25|Minor restricted activity days", US_national_yearly!$D:$AM, 10, FALSE), 1)</f>
        <v>1.2703135170195772</v>
      </c>
      <c r="D14" s="7">
        <f>$B14 * IFERROR(VLOOKUP("LULUCF|PM25|Minor restricted activity days", US_national_yearly!$D:$AM, 12, FALSE) / VLOOKUP("LULUCF|PM25|Minor restricted activity days", US_national_yearly!$D:$AM, 10, FALSE), 1)</f>
        <v>1.2734082156546718</v>
      </c>
      <c r="E14" s="7">
        <f>$B14 * IFERROR(VLOOKUP("LULUCF|PM25|Minor restricted activity days", US_national_yearly!$D:$AM, 13, FALSE) / VLOOKUP("LULUCF|PM25|Minor restricted activity days", US_national_yearly!$D:$AM, 10, FALSE), 1)</f>
        <v>1.2765029142897666</v>
      </c>
      <c r="F14" s="7">
        <f>$B14 * IFERROR(VLOOKUP("LULUCF|PM25|Minor restricted activity days", US_national_yearly!$D:$AM, 14, FALSE) / VLOOKUP("LULUCF|PM25|Minor restricted activity days", US_national_yearly!$D:$AM, 10, FALSE), 1)</f>
        <v>1.279597612924861</v>
      </c>
      <c r="G14" s="7">
        <f>$B14 * IFERROR(VLOOKUP("LULUCF|PM25|Minor restricted activity days", US_national_yearly!$D:$AM, 15, FALSE) / VLOOKUP("LULUCF|PM25|Minor restricted activity days", US_national_yearly!$D:$AM, 10, FALSE), 1)</f>
        <v>1.2841637481446389</v>
      </c>
      <c r="H14" s="7">
        <f>$B14 * IFERROR(VLOOKUP("LULUCF|PM25|Minor restricted activity days", US_national_yearly!$D:$AM, 16, FALSE) / VLOOKUP("LULUCF|PM25|Minor restricted activity days", US_national_yearly!$D:$AM, 10, FALSE), 1)</f>
        <v>1.2887298833644167</v>
      </c>
      <c r="I14" s="7">
        <f>$B14 * IFERROR(VLOOKUP("LULUCF|PM25|Minor restricted activity days", US_national_yearly!$D:$AM, 17, FALSE) / VLOOKUP("LULUCF|PM25|Minor restricted activity days", US_national_yearly!$D:$AM, 10, FALSE), 1)</f>
        <v>1.2965358836237291</v>
      </c>
      <c r="J14" s="7">
        <f>$B14 * IFERROR(VLOOKUP("LULUCF|PM25|Minor restricted activity days", US_national_yearly!$D:$AM, 18, FALSE) / VLOOKUP("LULUCF|PM25|Minor restricted activity days", US_national_yearly!$D:$AM, 10, FALSE), 1)</f>
        <v>1.3043418838830407</v>
      </c>
      <c r="K14" s="7">
        <f>$B14 * IFERROR(VLOOKUP("LULUCF|PM25|Minor restricted activity days", US_national_yearly!$D:$AM, 19, FALSE) / VLOOKUP("LULUCF|PM25|Minor restricted activity days", US_national_yearly!$D:$AM, 10, FALSE), 1)</f>
        <v>1.3121478841423531</v>
      </c>
      <c r="L14" s="7">
        <f>$B14 * IFERROR(VLOOKUP("LULUCF|PM25|Minor restricted activity days", US_national_yearly!$D:$AM, 20, FALSE) / VLOOKUP("LULUCF|PM25|Minor restricted activity days", US_national_yearly!$D:$AM, 10, FALSE), 1)</f>
        <v>1.3199538844016649</v>
      </c>
      <c r="M14" s="7">
        <f>$B14 * IFERROR(VLOOKUP("LULUCF|PM25|Minor restricted activity days", US_national_yearly!$D:$AM, 21, FALSE) / VLOOKUP("LULUCF|PM25|Minor restricted activity days", US_national_yearly!$D:$AM, 10, FALSE), 1)</f>
        <v>1.3277598846609771</v>
      </c>
      <c r="N14" s="7">
        <f>$B14 * IFERROR(VLOOKUP("LULUCF|PM25|Minor restricted activity days", US_national_yearly!$D:$AM, 22, FALSE) / VLOOKUP("LULUCF|PM25|Minor restricted activity days", US_national_yearly!$D:$AM, 10, FALSE), 1)</f>
        <v>1.3383932111860479</v>
      </c>
      <c r="O14" s="7">
        <f>$B14 * IFERROR(VLOOKUP("LULUCF|PM25|Minor restricted activity days", US_national_yearly!$D:$AM, 23, FALSE) / VLOOKUP("LULUCF|PM25|Minor restricted activity days", US_national_yearly!$D:$AM, 10, FALSE), 1)</f>
        <v>1.3490265377111184</v>
      </c>
      <c r="P14" s="7">
        <f>$B14 * IFERROR(VLOOKUP("LULUCF|PM25|Minor restricted activity days", US_national_yearly!$D:$AM, 24, FALSE) / VLOOKUP("LULUCF|PM25|Minor restricted activity days", US_national_yearly!$D:$AM, 10, FALSE), 1)</f>
        <v>1.359659864236189</v>
      </c>
      <c r="Q14" s="7">
        <f>$B14 * IFERROR(VLOOKUP("LULUCF|PM25|Minor restricted activity days", US_national_yearly!$D:$AM, 25, FALSE) / VLOOKUP("LULUCF|PM25|Minor restricted activity days", US_national_yearly!$D:$AM, 10, FALSE), 1)</f>
        <v>1.3702931907612594</v>
      </c>
      <c r="R14" s="7">
        <f>$B14 * IFERROR(VLOOKUP("LULUCF|PM25|Minor restricted activity days", US_national_yearly!$D:$AM, 26, FALSE) / VLOOKUP("LULUCF|PM25|Minor restricted activity days", US_national_yearly!$D:$AM, 10, FALSE), 1)</f>
        <v>1.3809265172863299</v>
      </c>
      <c r="S14" s="7">
        <f>$B14 * IFERROR(VLOOKUP("LULUCF|PM25|Minor restricted activity days", US_national_yearly!$D:$AM, 27, FALSE) / VLOOKUP("LULUCF|PM25|Minor restricted activity days", US_national_yearly!$D:$AM, 10, FALSE), 1)</f>
        <v>1.3916330720468566</v>
      </c>
      <c r="T14" s="7">
        <f>$B14 * IFERROR(VLOOKUP("LULUCF|PM25|Minor restricted activity days", US_national_yearly!$D:$AM, 28, FALSE) / VLOOKUP("LULUCF|PM25|Minor restricted activity days", US_national_yearly!$D:$AM, 10, FALSE), 1)</f>
        <v>1.4023396268073833</v>
      </c>
      <c r="U14" s="7">
        <f>$B14 * IFERROR(VLOOKUP("LULUCF|PM25|Minor restricted activity days", US_national_yearly!$D:$AM, 29, FALSE) / VLOOKUP("LULUCF|PM25|Minor restricted activity days", US_national_yearly!$D:$AM, 10, FALSE), 1)</f>
        <v>1.4130461815679101</v>
      </c>
      <c r="V14" s="7">
        <f>$B14 * IFERROR(VLOOKUP("LULUCF|PM25|Minor restricted activity days", US_national_yearly!$D:$AM, 30, FALSE) / VLOOKUP("LULUCF|PM25|Minor restricted activity days", US_national_yearly!$D:$AM, 10, FALSE), 1)</f>
        <v>1.4237527363284368</v>
      </c>
      <c r="W14" s="7">
        <f>$B14 * IFERROR(VLOOKUP("LULUCF|PM25|Minor restricted activity days", US_national_yearly!$D:$AM, 31, FALSE) / VLOOKUP("LULUCF|PM25|Minor restricted activity days", US_national_yearly!$D:$AM, 10, FALSE), 1)</f>
        <v>1.4344592910889635</v>
      </c>
      <c r="X14" s="7">
        <f>$B14 * IFERROR(VLOOKUP("LULUCF|PM25|Minor restricted activity days", US_national_yearly!$D:$AM, 32, FALSE) / VLOOKUP("LULUCF|PM25|Minor restricted activity days", US_national_yearly!$D:$AM, 10, FALSE), 1)</f>
        <v>1.4437536577210028</v>
      </c>
      <c r="Y14" s="7">
        <f>$B14 * IFERROR(VLOOKUP("LULUCF|PM25|Minor restricted activity days", US_national_yearly!$D:$AM, 33, FALSE) / VLOOKUP("LULUCF|PM25|Minor restricted activity days", US_national_yearly!$D:$AM, 10, FALSE), 1)</f>
        <v>1.4530480243530419</v>
      </c>
      <c r="Z14" s="7">
        <f>$B14 * IFERROR(VLOOKUP("LULUCF|PM25|Minor restricted activity days", US_national_yearly!$D:$AM, 34, FALSE) / VLOOKUP("LULUCF|PM25|Minor restricted activity days", US_national_yearly!$D:$AM, 10, FALSE), 1)</f>
        <v>1.4623423909850812</v>
      </c>
      <c r="AA14" s="7">
        <f>$B14 * IFERROR(VLOOKUP("LULUCF|PM25|Minor restricted activity days", US_national_yearly!$D:$AM, 35, FALSE) / VLOOKUP("LULUCF|PM25|Minor restricted activity days", US_national_yearly!$D:$AM, 10, FALSE), 1)</f>
        <v>1.4716367576171201</v>
      </c>
      <c r="AB14" s="7">
        <f>$B14 * IFERROR(VLOOKUP("LULUCF|PM25|Minor restricted activity days", US_national_yearly!$D:$AM, 36, FALSE) / VLOOKUP("LULUCF|PM25|Minor restricted activity days", US_national_yearly!$D:$AM, 10, FALSE), 1)</f>
        <v>1.4809311242491592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0.21420056483431907</v>
      </c>
      <c r="C15" s="7">
        <f>$B15 * IFERROR(VLOOKUP("LULUCF|PM25|Work loss days", US_national_yearly!$D:$AM, 11, FALSE) / VLOOKUP("LULUCF|PM25|Work loss days", US_national_yearly!$D:$AM, 10, FALSE), 1)</f>
        <v>0.21486450943651766</v>
      </c>
      <c r="D15" s="7">
        <f>$B15 * IFERROR(VLOOKUP("LULUCF|PM25|Work loss days", US_national_yearly!$D:$AM, 12, FALSE) / VLOOKUP("LULUCF|PM25|Work loss days", US_national_yearly!$D:$AM, 10, FALSE), 1)</f>
        <v>0.21552845403871632</v>
      </c>
      <c r="E15" s="7">
        <f>$B15 * IFERROR(VLOOKUP("LULUCF|PM25|Work loss days", US_national_yearly!$D:$AM, 13, FALSE) / VLOOKUP("LULUCF|PM25|Work loss days", US_national_yearly!$D:$AM, 10, FALSE), 1)</f>
        <v>0.21619239864091491</v>
      </c>
      <c r="F15" s="7">
        <f>$B15 * IFERROR(VLOOKUP("LULUCF|PM25|Work loss days", US_national_yearly!$D:$AM, 14, FALSE) / VLOOKUP("LULUCF|PM25|Work loss days", US_national_yearly!$D:$AM, 10, FALSE), 1)</f>
        <v>0.21685634324311351</v>
      </c>
      <c r="G15" s="7">
        <f>$B15 * IFERROR(VLOOKUP("LULUCF|PM25|Work loss days", US_national_yearly!$D:$AM, 15, FALSE) / VLOOKUP("LULUCF|PM25|Work loss days", US_national_yearly!$D:$AM, 10, FALSE), 1)</f>
        <v>0.21772681698353774</v>
      </c>
      <c r="H15" s="7">
        <f>$B15 * IFERROR(VLOOKUP("LULUCF|PM25|Work loss days", US_national_yearly!$D:$AM, 16, FALSE) / VLOOKUP("LULUCF|PM25|Work loss days", US_national_yearly!$D:$AM, 10, FALSE), 1)</f>
        <v>0.218597290723962</v>
      </c>
      <c r="I15" s="7">
        <f>$B15 * IFERROR(VLOOKUP("LULUCF|PM25|Work loss days", US_national_yearly!$D:$AM, 17, FALSE) / VLOOKUP("LULUCF|PM25|Work loss days", US_national_yearly!$D:$AM, 10, FALSE), 1)</f>
        <v>0.21987915904571084</v>
      </c>
      <c r="J15" s="7">
        <f>$B15 * IFERROR(VLOOKUP("LULUCF|PM25|Work loss days", US_national_yearly!$D:$AM, 18, FALSE) / VLOOKUP("LULUCF|PM25|Work loss days", US_national_yearly!$D:$AM, 10, FALSE), 1)</f>
        <v>0.22116102736745968</v>
      </c>
      <c r="K15" s="7">
        <f>$B15 * IFERROR(VLOOKUP("LULUCF|PM25|Work loss days", US_national_yearly!$D:$AM, 19, FALSE) / VLOOKUP("LULUCF|PM25|Work loss days", US_national_yearly!$D:$AM, 10, FALSE), 1)</f>
        <v>0.22244289568920853</v>
      </c>
      <c r="L15" s="7">
        <f>$B15 * IFERROR(VLOOKUP("LULUCF|PM25|Work loss days", US_national_yearly!$D:$AM, 20, FALSE) / VLOOKUP("LULUCF|PM25|Work loss days", US_national_yearly!$D:$AM, 10, FALSE), 1)</f>
        <v>0.22372476401095737</v>
      </c>
      <c r="M15" s="7">
        <f>$B15 * IFERROR(VLOOKUP("LULUCF|PM25|Work loss days", US_national_yearly!$D:$AM, 21, FALSE) / VLOOKUP("LULUCF|PM25|Work loss days", US_national_yearly!$D:$AM, 10, FALSE), 1)</f>
        <v>0.22500663233270621</v>
      </c>
      <c r="N15" s="7">
        <f>$B15 * IFERROR(VLOOKUP("LULUCF|PM25|Work loss days", US_national_yearly!$D:$AM, 22, FALSE) / VLOOKUP("LULUCF|PM25|Work loss days", US_national_yearly!$D:$AM, 10, FALSE), 1)</f>
        <v>0.22661996063870354</v>
      </c>
      <c r="O15" s="7">
        <f>$B15 * IFERROR(VLOOKUP("LULUCF|PM25|Work loss days", US_national_yearly!$D:$AM, 23, FALSE) / VLOOKUP("LULUCF|PM25|Work loss days", US_national_yearly!$D:$AM, 10, FALSE), 1)</f>
        <v>0.22823328894470082</v>
      </c>
      <c r="P15" s="7">
        <f>$B15 * IFERROR(VLOOKUP("LULUCF|PM25|Work loss days", US_national_yearly!$D:$AM, 24, FALSE) / VLOOKUP("LULUCF|PM25|Work loss days", US_national_yearly!$D:$AM, 10, FALSE), 1)</f>
        <v>0.22984661725069816</v>
      </c>
      <c r="Q15" s="7">
        <f>$B15 * IFERROR(VLOOKUP("LULUCF|PM25|Work loss days", US_national_yearly!$D:$AM, 25, FALSE) / VLOOKUP("LULUCF|PM25|Work loss days", US_national_yearly!$D:$AM, 10, FALSE), 1)</f>
        <v>0.23145994555669544</v>
      </c>
      <c r="R15" s="7">
        <f>$B15 * IFERROR(VLOOKUP("LULUCF|PM25|Work loss days", US_national_yearly!$D:$AM, 26, FALSE) / VLOOKUP("LULUCF|PM25|Work loss days", US_national_yearly!$D:$AM, 10, FALSE), 1)</f>
        <v>0.23307327386269278</v>
      </c>
      <c r="S15" s="7">
        <f>$B15 * IFERROR(VLOOKUP("LULUCF|PM25|Work loss days", US_national_yearly!$D:$AM, 27, FALSE) / VLOOKUP("LULUCF|PM25|Work loss days", US_national_yearly!$D:$AM, 10, FALSE), 1)</f>
        <v>0.23485768384768216</v>
      </c>
      <c r="T15" s="7">
        <f>$B15 * IFERROR(VLOOKUP("LULUCF|PM25|Work loss days", US_national_yearly!$D:$AM, 28, FALSE) / VLOOKUP("LULUCF|PM25|Work loss days", US_national_yearly!$D:$AM, 10, FALSE), 1)</f>
        <v>0.2366420938326716</v>
      </c>
      <c r="U15" s="7">
        <f>$B15 * IFERROR(VLOOKUP("LULUCF|PM25|Work loss days", US_national_yearly!$D:$AM, 29, FALSE) / VLOOKUP("LULUCF|PM25|Work loss days", US_national_yearly!$D:$AM, 10, FALSE), 1)</f>
        <v>0.23842650381766092</v>
      </c>
      <c r="V15" s="7">
        <f>$B15 * IFERROR(VLOOKUP("LULUCF|PM25|Work loss days", US_national_yearly!$D:$AM, 30, FALSE) / VLOOKUP("LULUCF|PM25|Work loss days", US_national_yearly!$D:$AM, 10, FALSE), 1)</f>
        <v>0.24021091380265036</v>
      </c>
      <c r="W15" s="7">
        <f>$B15 * IFERROR(VLOOKUP("LULUCF|PM25|Work loss days", US_national_yearly!$D:$AM, 31, FALSE) / VLOOKUP("LULUCF|PM25|Work loss days", US_national_yearly!$D:$AM, 10, FALSE), 1)</f>
        <v>0.24199532378763974</v>
      </c>
      <c r="X15" s="7">
        <f>$B15 * IFERROR(VLOOKUP("LULUCF|PM25|Work loss days", US_national_yearly!$D:$AM, 32, FALSE) / VLOOKUP("LULUCF|PM25|Work loss days", US_national_yearly!$D:$AM, 10, FALSE), 1)</f>
        <v>0.24357857670616209</v>
      </c>
      <c r="Y15" s="7">
        <f>$B15 * IFERROR(VLOOKUP("LULUCF|PM25|Work loss days", US_national_yearly!$D:$AM, 33, FALSE) / VLOOKUP("LULUCF|PM25|Work loss days", US_national_yearly!$D:$AM, 10, FALSE), 1)</f>
        <v>0.24516182962468447</v>
      </c>
      <c r="Z15" s="7">
        <f>$B15 * IFERROR(VLOOKUP("LULUCF|PM25|Work loss days", US_national_yearly!$D:$AM, 34, FALSE) / VLOOKUP("LULUCF|PM25|Work loss days", US_national_yearly!$D:$AM, 10, FALSE), 1)</f>
        <v>0.24674508254320687</v>
      </c>
      <c r="AA15" s="7">
        <f>$B15 * IFERROR(VLOOKUP("LULUCF|PM25|Work loss days", US_national_yearly!$D:$AM, 35, FALSE) / VLOOKUP("LULUCF|PM25|Work loss days", US_national_yearly!$D:$AM, 10, FALSE), 1)</f>
        <v>0.24832833546172928</v>
      </c>
      <c r="AB15" s="7">
        <f>$B15 * IFERROR(VLOOKUP("LULUCF|PM25|Work loss days", US_national_yearly!$D:$AM, 36, FALSE) / VLOOKUP("LULUCF|PM25|Work loss days", US_national_yearly!$D:$AM, 10, FALSE), 1)</f>
        <v>0.24991158838025165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5.9302025950977867E-4</v>
      </c>
      <c r="C17" s="7">
        <f>$B17 * IFERROR(VLOOKUP("LULUCF|PM25|Cardiovascular hospital admissions", US_national_yearly!$D:$AM, 11, FALSE) / VLOOKUP("LULUCF|PM25|Cardiovascular hospital admissions", US_national_yearly!$D:$AM, 10, FALSE), 1)</f>
        <v>6.1074011838695391E-4</v>
      </c>
      <c r="D17" s="7">
        <f>$B17 * IFERROR(VLOOKUP("LULUCF|PM25|Cardiovascular hospital admissions", US_national_yearly!$D:$AM, 12, FALSE) / VLOOKUP("LULUCF|PM25|Cardiovascular hospital admissions", US_national_yearly!$D:$AM, 10, FALSE), 1)</f>
        <v>6.2845997726412915E-4</v>
      </c>
      <c r="E17" s="7">
        <f>$B17 * IFERROR(VLOOKUP("LULUCF|PM25|Cardiovascular hospital admissions", US_national_yearly!$D:$AM, 13, FALSE) / VLOOKUP("LULUCF|PM25|Cardiovascular hospital admissions", US_national_yearly!$D:$AM, 10, FALSE), 1)</f>
        <v>6.461798361413045E-4</v>
      </c>
      <c r="F17" s="7">
        <f>$B17 * IFERROR(VLOOKUP("LULUCF|PM25|Cardiovascular hospital admissions", US_national_yearly!$D:$AM, 14, FALSE) / VLOOKUP("LULUCF|PM25|Cardiovascular hospital admissions", US_national_yearly!$D:$AM, 10, FALSE), 1)</f>
        <v>6.6389969501847986E-4</v>
      </c>
      <c r="G17" s="7">
        <f>$B17 * IFERROR(VLOOKUP("LULUCF|PM25|Cardiovascular hospital admissions", US_national_yearly!$D:$AM, 15, FALSE) / VLOOKUP("LULUCF|PM25|Cardiovascular hospital admissions", US_national_yearly!$D:$AM, 10, FALSE), 1)</f>
        <v>6.8087215458200291E-4</v>
      </c>
      <c r="H17" s="7">
        <f>$B17 * IFERROR(VLOOKUP("LULUCF|PM25|Cardiovascular hospital admissions", US_national_yearly!$D:$AM, 16, FALSE) / VLOOKUP("LULUCF|PM25|Cardiovascular hospital admissions", US_national_yearly!$D:$AM, 10, FALSE), 1)</f>
        <v>6.978446141455263E-4</v>
      </c>
      <c r="I17" s="7">
        <f>$B17 * IFERROR(VLOOKUP("LULUCF|PM25|Cardiovascular hospital admissions", US_national_yearly!$D:$AM, 17, FALSE) / VLOOKUP("LULUCF|PM25|Cardiovascular hospital admissions", US_national_yearly!$D:$AM, 10, FALSE), 1)</f>
        <v>7.1236039338963542E-4</v>
      </c>
      <c r="J17" s="7">
        <f>$B17 * IFERROR(VLOOKUP("LULUCF|PM25|Cardiovascular hospital admissions", US_national_yearly!$D:$AM, 18, FALSE) / VLOOKUP("LULUCF|PM25|Cardiovascular hospital admissions", US_national_yearly!$D:$AM, 10, FALSE), 1)</f>
        <v>7.2687617263374443E-4</v>
      </c>
      <c r="K17" s="7">
        <f>$B17 * IFERROR(VLOOKUP("LULUCF|PM25|Cardiovascular hospital admissions", US_national_yearly!$D:$AM, 19, FALSE) / VLOOKUP("LULUCF|PM25|Cardiovascular hospital admissions", US_national_yearly!$D:$AM, 10, FALSE), 1)</f>
        <v>7.4139195187785355E-4</v>
      </c>
      <c r="L17" s="7">
        <f>$B17 * IFERROR(VLOOKUP("LULUCF|PM25|Cardiovascular hospital admissions", US_national_yearly!$D:$AM, 20, FALSE) / VLOOKUP("LULUCF|PM25|Cardiovascular hospital admissions", US_national_yearly!$D:$AM, 10, FALSE), 1)</f>
        <v>7.5590773112196277E-4</v>
      </c>
      <c r="M17" s="7">
        <f>$B17 * IFERROR(VLOOKUP("LULUCF|PM25|Cardiovascular hospital admissions", US_national_yearly!$D:$AM, 21, FALSE) / VLOOKUP("LULUCF|PM25|Cardiovascular hospital admissions", US_national_yearly!$D:$AM, 10, FALSE), 1)</f>
        <v>7.7042351036607178E-4</v>
      </c>
      <c r="N17" s="7">
        <f>$B17 * IFERROR(VLOOKUP("LULUCF|PM25|Cardiovascular hospital admissions", US_national_yearly!$D:$AM, 22, FALSE) / VLOOKUP("LULUCF|PM25|Cardiovascular hospital admissions", US_national_yearly!$D:$AM, 10, FALSE), 1)</f>
        <v>7.8010151180271084E-4</v>
      </c>
      <c r="O17" s="7">
        <f>$B17 * IFERROR(VLOOKUP("LULUCF|PM25|Cardiovascular hospital admissions", US_national_yearly!$D:$AM, 23, FALSE) / VLOOKUP("LULUCF|PM25|Cardiovascular hospital admissions", US_national_yearly!$D:$AM, 10, FALSE), 1)</f>
        <v>7.8977951323935011E-4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7.9945751467598916E-4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8.0913551611262833E-4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8.1881351754926738E-4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8.23934083857807E-4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8.290546501663464E-4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8.3417521647488569E-4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8.392957827834251E-4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8.4441634909196461E-4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8.478635816866495E-4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8.5131081428133451E-4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8.5475804687601951E-4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8.5820527947070451E-4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8.6165251206538941E-4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4.4523077260162133E-3</v>
      </c>
      <c r="C2" s="7">
        <f>$B2 * IFERROR(VLOOKUP("LULUCF|NOx|Premature mortality", US_national_yearly!$D:$AM, 11, FALSE) / VLOOKUP("LULUCF|NOx|Premature mortality", US_national_yearly!$D:$AM, 10, FALSE), 1)</f>
        <v>4.5177046009836856E-3</v>
      </c>
      <c r="D2" s="7">
        <f>$B2 * IFERROR(VLOOKUP("LULUCF|NOx|Premature mortality", US_national_yearly!$D:$AM, 12, FALSE) / VLOOKUP("LULUCF|NOx|Premature mortality", US_national_yearly!$D:$AM, 10, FALSE), 1)</f>
        <v>4.5831014759511578E-3</v>
      </c>
      <c r="E2" s="7">
        <f>$B2 * IFERROR(VLOOKUP("LULUCF|NOx|Premature mortality", US_national_yearly!$D:$AM, 13, FALSE) / VLOOKUP("LULUCF|NOx|Premature mortality", US_national_yearly!$D:$AM, 10, FALSE), 1)</f>
        <v>4.6484983509186301E-3</v>
      </c>
      <c r="F2" s="7">
        <f>$B2 * IFERROR(VLOOKUP("LULUCF|NOx|Premature mortality", US_national_yearly!$D:$AM, 14, FALSE) / VLOOKUP("LULUCF|NOx|Premature mortality", US_national_yearly!$D:$AM, 10, FALSE), 1)</f>
        <v>4.7138952258861033E-3</v>
      </c>
      <c r="G2" s="7">
        <f>$B2 * IFERROR(VLOOKUP("LULUCF|NOx|Premature mortality", US_national_yearly!$D:$AM, 15, FALSE) / VLOOKUP("LULUCF|NOx|Premature mortality", US_national_yearly!$D:$AM, 10, FALSE), 1)</f>
        <v>4.8313634747318129E-3</v>
      </c>
      <c r="H2" s="7">
        <f>$B2 * IFERROR(VLOOKUP("LULUCF|NOx|Premature mortality", US_national_yearly!$D:$AM, 16, FALSE) / VLOOKUP("LULUCF|NOx|Premature mortality", US_national_yearly!$D:$AM, 10, FALSE), 1)</f>
        <v>4.948831723577525E-3</v>
      </c>
      <c r="I2" s="7">
        <f>$B2 * IFERROR(VLOOKUP("LULUCF|NOx|Premature mortality", US_national_yearly!$D:$AM, 17, FALSE) / VLOOKUP("LULUCF|NOx|Premature mortality", US_national_yearly!$D:$AM, 10, FALSE), 1)</f>
        <v>5.0246597064197672E-3</v>
      </c>
      <c r="J2" s="7">
        <f>$B2 * IFERROR(VLOOKUP("LULUCF|NOx|Premature mortality", US_national_yearly!$D:$AM, 18, FALSE) / VLOOKUP("LULUCF|NOx|Premature mortality", US_national_yearly!$D:$AM, 10, FALSE), 1)</f>
        <v>5.1004876892620102E-3</v>
      </c>
      <c r="K2" s="7">
        <f>$B2 * IFERROR(VLOOKUP("LULUCF|NOx|Premature mortality", US_national_yearly!$D:$AM, 19, FALSE) / VLOOKUP("LULUCF|NOx|Premature mortality", US_national_yearly!$D:$AM, 10, FALSE), 1)</f>
        <v>5.1763156721042515E-3</v>
      </c>
      <c r="L2" s="7">
        <f>$B2 * IFERROR(VLOOKUP("LULUCF|NOx|Premature mortality", US_national_yearly!$D:$AM, 20, FALSE) / VLOOKUP("LULUCF|NOx|Premature mortality", US_national_yearly!$D:$AM, 10, FALSE), 1)</f>
        <v>5.2521436549464937E-3</v>
      </c>
      <c r="M2" s="7">
        <f>$B2 * IFERROR(VLOOKUP("LULUCF|NOx|Premature mortality", US_national_yearly!$D:$AM, 21, FALSE) / VLOOKUP("LULUCF|NOx|Premature mortality", US_national_yearly!$D:$AM, 10, FALSE), 1)</f>
        <v>5.3279716377887367E-3</v>
      </c>
      <c r="N2" s="7">
        <f>$B2 * IFERROR(VLOOKUP("LULUCF|NOx|Premature mortality", US_national_yearly!$D:$AM, 22, FALSE) / VLOOKUP("LULUCF|NOx|Premature mortality", US_national_yearly!$D:$AM, 10, FALSE), 1)</f>
        <v>5.3841447126936727E-3</v>
      </c>
      <c r="O2" s="7">
        <f>$B2 * IFERROR(VLOOKUP("LULUCF|NOx|Premature mortality", US_national_yearly!$D:$AM, 23, FALSE) / VLOOKUP("LULUCF|NOx|Premature mortality", US_national_yearly!$D:$AM, 10, FALSE), 1)</f>
        <v>5.4403177875986088E-3</v>
      </c>
      <c r="P2" s="7">
        <f>$B2 * IFERROR(VLOOKUP("LULUCF|NOx|Premature mortality", US_national_yearly!$D:$AM, 24, FALSE) / VLOOKUP("LULUCF|NOx|Premature mortality", US_national_yearly!$D:$AM, 10, FALSE), 1)</f>
        <v>5.4964908625035449E-3</v>
      </c>
      <c r="Q2" s="7">
        <f>$B2 * IFERROR(VLOOKUP("LULUCF|NOx|Premature mortality", US_national_yearly!$D:$AM, 25, FALSE) / VLOOKUP("LULUCF|NOx|Premature mortality", US_national_yearly!$D:$AM, 10, FALSE), 1)</f>
        <v>5.5526639374084818E-3</v>
      </c>
      <c r="R2" s="7">
        <f>$B2 * IFERROR(VLOOKUP("LULUCF|NOx|Premature mortality", US_national_yearly!$D:$AM, 26, FALSE) / VLOOKUP("LULUCF|NOx|Premature mortality", US_national_yearly!$D:$AM, 10, FALSE), 1)</f>
        <v>5.6088370123134178E-3</v>
      </c>
      <c r="S2" s="7">
        <f>$B2 * IFERROR(VLOOKUP("LULUCF|NOx|Premature mortality", US_national_yearly!$D:$AM, 27, FALSE) / VLOOKUP("LULUCF|NOx|Premature mortality", US_national_yearly!$D:$AM, 10, FALSE), 1)</f>
        <v>5.634368240513059E-3</v>
      </c>
      <c r="T2" s="7">
        <f>$B2 * IFERROR(VLOOKUP("LULUCF|NOx|Premature mortality", US_national_yearly!$D:$AM, 28, FALSE) / VLOOKUP("LULUCF|NOx|Premature mortality", US_national_yearly!$D:$AM, 10, FALSE), 1)</f>
        <v>5.6598994687127001E-3</v>
      </c>
      <c r="U2" s="7">
        <f>$B2 * IFERROR(VLOOKUP("LULUCF|NOx|Premature mortality", US_national_yearly!$D:$AM, 29, FALSE) / VLOOKUP("LULUCF|NOx|Premature mortality", US_national_yearly!$D:$AM, 10, FALSE), 1)</f>
        <v>5.6854306969123412E-3</v>
      </c>
      <c r="V2" s="7">
        <f>$B2 * IFERROR(VLOOKUP("LULUCF|NOx|Premature mortality", US_national_yearly!$D:$AM, 30, FALSE) / VLOOKUP("LULUCF|NOx|Premature mortality", US_national_yearly!$D:$AM, 10, FALSE), 1)</f>
        <v>5.7109619251119815E-3</v>
      </c>
      <c r="W2" s="7">
        <f>$B2 * IFERROR(VLOOKUP("LULUCF|NOx|Premature mortality", US_national_yearly!$D:$AM, 31, FALSE) / VLOOKUP("LULUCF|NOx|Premature mortality", US_national_yearly!$D:$AM, 10, FALSE), 1)</f>
        <v>5.7364931533116226E-3</v>
      </c>
      <c r="X2" s="7">
        <f>$B2 * IFERROR(VLOOKUP("LULUCF|NOx|Premature mortality", US_national_yearly!$D:$AM, 32, FALSE) / VLOOKUP("LULUCF|NOx|Premature mortality", US_national_yearly!$D:$AM, 10, FALSE), 1)</f>
        <v>5.7373775404014164E-3</v>
      </c>
      <c r="Y2" s="7">
        <f>$B2 * IFERROR(VLOOKUP("LULUCF|NOx|Premature mortality", US_national_yearly!$D:$AM, 33, FALSE) / VLOOKUP("LULUCF|NOx|Premature mortality", US_national_yearly!$D:$AM, 10, FALSE), 1)</f>
        <v>5.7382619274912094E-3</v>
      </c>
      <c r="Z2" s="7">
        <f>$B2 * IFERROR(VLOOKUP("LULUCF|NOx|Premature mortality", US_national_yearly!$D:$AM, 34, FALSE) / VLOOKUP("LULUCF|NOx|Premature mortality", US_national_yearly!$D:$AM, 10, FALSE), 1)</f>
        <v>5.7391463145810024E-3</v>
      </c>
      <c r="AA2" s="7">
        <f>$B2 * IFERROR(VLOOKUP("LULUCF|NOx|Premature mortality", US_national_yearly!$D:$AM, 35, FALSE) / VLOOKUP("LULUCF|NOx|Premature mortality", US_national_yearly!$D:$AM, 10, FALSE), 1)</f>
        <v>5.7400307016707963E-3</v>
      </c>
      <c r="AB2" s="7">
        <f>$B2 * IFERROR(VLOOKUP("LULUCF|NOx|Premature mortality", US_national_yearly!$D:$AM, 36, FALSE) / VLOOKUP("LULUCF|NOx|Premature mortality", US_national_yearly!$D:$AM, 10, FALSE), 1)</f>
        <v>5.7409150887605901E-3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9.5468654788550158E-6</v>
      </c>
      <c r="C3" s="7">
        <f>$B3 * IFERROR(VLOOKUP("LULUCF|NOx|Infant mortality", US_national_yearly!$D:$AM, 11, FALSE) / VLOOKUP("LULUCF|NOx|Infant mortality", US_national_yearly!$D:$AM, 10, FALSE), 1)</f>
        <v>9.4559072582042868E-6</v>
      </c>
      <c r="D3" s="7">
        <f>$B3 * IFERROR(VLOOKUP("LULUCF|NOx|Infant mortality", US_national_yearly!$D:$AM, 12, FALSE) / VLOOKUP("LULUCF|NOx|Infant mortality", US_national_yearly!$D:$AM, 10, FALSE), 1)</f>
        <v>9.3649490375535579E-6</v>
      </c>
      <c r="E3" s="7">
        <f>$B3 * IFERROR(VLOOKUP("LULUCF|NOx|Infant mortality", US_national_yearly!$D:$AM, 13, FALSE) / VLOOKUP("LULUCF|NOx|Infant mortality", US_national_yearly!$D:$AM, 10, FALSE), 1)</f>
        <v>9.2739908169028289E-6</v>
      </c>
      <c r="F3" s="7">
        <f>$B3 * IFERROR(VLOOKUP("LULUCF|NOx|Infant mortality", US_national_yearly!$D:$AM, 14, FALSE) / VLOOKUP("LULUCF|NOx|Infant mortality", US_national_yearly!$D:$AM, 10, FALSE), 1)</f>
        <v>9.1830325962521E-6</v>
      </c>
      <c r="G3" s="7">
        <f>$B3 * IFERROR(VLOOKUP("LULUCF|NOx|Infant mortality", US_national_yearly!$D:$AM, 15, FALSE) / VLOOKUP("LULUCF|NOx|Infant mortality", US_national_yearly!$D:$AM, 10, FALSE), 1)</f>
        <v>6.0961505045653998E-6</v>
      </c>
      <c r="H3" s="7">
        <f>$B3 * IFERROR(VLOOKUP("LULUCF|NOx|Infant mortality", US_national_yearly!$D:$AM, 16, FALSE) / VLOOKUP("LULUCF|NOx|Infant mortality", US_national_yearly!$D:$AM, 10, FALSE), 1)</f>
        <v>3.0092684128786992E-6</v>
      </c>
      <c r="I3" s="7">
        <f>$B3 * IFERROR(VLOOKUP("LULUCF|NOx|Infant mortality", US_national_yearly!$D:$AM, 17, FALSE) / VLOOKUP("LULUCF|NOx|Infant mortality", US_national_yearly!$D:$AM, 10, FALSE), 1)</f>
        <v>2.9879900119384578E-6</v>
      </c>
      <c r="J3" s="7">
        <f>$B3 * IFERROR(VLOOKUP("LULUCF|NOx|Infant mortality", US_national_yearly!$D:$AM, 18, FALSE) / VLOOKUP("LULUCF|NOx|Infant mortality", US_national_yearly!$D:$AM, 10, FALSE), 1)</f>
        <v>2.9667116109982155E-6</v>
      </c>
      <c r="K3" s="7">
        <f>$B3 * IFERROR(VLOOKUP("LULUCF|NOx|Infant mortality", US_national_yearly!$D:$AM, 19, FALSE) / VLOOKUP("LULUCF|NOx|Infant mortality", US_national_yearly!$D:$AM, 10, FALSE), 1)</f>
        <v>2.9454332100579741E-6</v>
      </c>
      <c r="L3" s="7">
        <f>$B3 * IFERROR(VLOOKUP("LULUCF|NOx|Infant mortality", US_national_yearly!$D:$AM, 20, FALSE) / VLOOKUP("LULUCF|NOx|Infant mortality", US_national_yearly!$D:$AM, 10, FALSE), 1)</f>
        <v>2.9241548091177327E-6</v>
      </c>
      <c r="M3" s="7">
        <f>$B3 * IFERROR(VLOOKUP("LULUCF|NOx|Infant mortality", US_national_yearly!$D:$AM, 21, FALSE) / VLOOKUP("LULUCF|NOx|Infant mortality", US_national_yearly!$D:$AM, 10, FALSE), 1)</f>
        <v>2.9028764081774908E-6</v>
      </c>
      <c r="N3" s="7">
        <f>$B3 * IFERROR(VLOOKUP("LULUCF|NOx|Infant mortality", US_national_yearly!$D:$AM, 22, FALSE) / VLOOKUP("LULUCF|NOx|Infant mortality", US_national_yearly!$D:$AM, 10, FALSE), 1)</f>
        <v>2.8887526953361707E-6</v>
      </c>
      <c r="O3" s="7">
        <f>$B3 * IFERROR(VLOOKUP("LULUCF|NOx|Infant mortality", US_national_yearly!$D:$AM, 23, FALSE) / VLOOKUP("LULUCF|NOx|Infant mortality", US_national_yearly!$D:$AM, 10, FALSE), 1)</f>
        <v>2.8746289824948505E-6</v>
      </c>
      <c r="P3" s="7">
        <f>$B3 * IFERROR(VLOOKUP("LULUCF|NOx|Infant mortality", US_national_yearly!$D:$AM, 24, FALSE) / VLOOKUP("LULUCF|NOx|Infant mortality", US_national_yearly!$D:$AM, 10, FALSE), 1)</f>
        <v>2.8605052696535303E-6</v>
      </c>
      <c r="Q3" s="7">
        <f>$B3 * IFERROR(VLOOKUP("LULUCF|NOx|Infant mortality", US_national_yearly!$D:$AM, 25, FALSE) / VLOOKUP("LULUCF|NOx|Infant mortality", US_national_yearly!$D:$AM, 10, FALSE), 1)</f>
        <v>2.8463815568122101E-6</v>
      </c>
      <c r="R3" s="7">
        <f>$B3 * IFERROR(VLOOKUP("LULUCF|NOx|Infant mortality", US_national_yearly!$D:$AM, 26, FALSE) / VLOOKUP("LULUCF|NOx|Infant mortality", US_national_yearly!$D:$AM, 10, FALSE), 1)</f>
        <v>2.83225784397089E-6</v>
      </c>
      <c r="S3" s="7">
        <f>$B3 * IFERROR(VLOOKUP("LULUCF|NOx|Infant mortality", US_national_yearly!$D:$AM, 27, FALSE) / VLOOKUP("LULUCF|NOx|Infant mortality", US_national_yearly!$D:$AM, 10, FALSE), 1)</f>
        <v>2.8152788951287733E-6</v>
      </c>
      <c r="T3" s="7">
        <f>$B3 * IFERROR(VLOOKUP("LULUCF|NOx|Infant mortality", US_national_yearly!$D:$AM, 28, FALSE) / VLOOKUP("LULUCF|NOx|Infant mortality", US_national_yearly!$D:$AM, 10, FALSE), 1)</f>
        <v>2.7982999462866567E-6</v>
      </c>
      <c r="U3" s="7">
        <f>$B3 * IFERROR(VLOOKUP("LULUCF|NOx|Infant mortality", US_national_yearly!$D:$AM, 29, FALSE) / VLOOKUP("LULUCF|NOx|Infant mortality", US_national_yearly!$D:$AM, 10, FALSE), 1)</f>
        <v>2.7813209974445396E-6</v>
      </c>
      <c r="V3" s="7">
        <f>$B3 * IFERROR(VLOOKUP("LULUCF|NOx|Infant mortality", US_national_yearly!$D:$AM, 30, FALSE) / VLOOKUP("LULUCF|NOx|Infant mortality", US_national_yearly!$D:$AM, 10, FALSE), 1)</f>
        <v>2.764342048602423E-6</v>
      </c>
      <c r="W3" s="7">
        <f>$B3 * IFERROR(VLOOKUP("LULUCF|NOx|Infant mortality", US_national_yearly!$D:$AM, 31, FALSE) / VLOOKUP("LULUCF|NOx|Infant mortality", US_national_yearly!$D:$AM, 10, FALSE), 1)</f>
        <v>2.7473630997603063E-6</v>
      </c>
      <c r="X3" s="7">
        <f>$B3 * IFERROR(VLOOKUP("LULUCF|NOx|Infant mortality", US_national_yearly!$D:$AM, 32, FALSE) / VLOOKUP("LULUCF|NOx|Infant mortality", US_national_yearly!$D:$AM, 10, FALSE), 1)</f>
        <v>2.7293815718680506E-6</v>
      </c>
      <c r="Y3" s="7">
        <f>$B3 * IFERROR(VLOOKUP("LULUCF|NOx|Infant mortality", US_national_yearly!$D:$AM, 33, FALSE) / VLOOKUP("LULUCF|NOx|Infant mortality", US_national_yearly!$D:$AM, 10, FALSE), 1)</f>
        <v>2.7114000439757941E-6</v>
      </c>
      <c r="Z3" s="7">
        <f>$B3 * IFERROR(VLOOKUP("LULUCF|NOx|Infant mortality", US_national_yearly!$D:$AM, 34, FALSE) / VLOOKUP("LULUCF|NOx|Infant mortality", US_national_yearly!$D:$AM, 10, FALSE), 1)</f>
        <v>2.6934185160835379E-6</v>
      </c>
      <c r="AA3" s="7">
        <f>$B3 * IFERROR(VLOOKUP("LULUCF|NOx|Infant mortality", US_national_yearly!$D:$AM, 35, FALSE) / VLOOKUP("LULUCF|NOx|Infant mortality", US_national_yearly!$D:$AM, 10, FALSE), 1)</f>
        <v>2.6754369881912814E-6</v>
      </c>
      <c r="AB3" s="7">
        <f>$B3 * IFERROR(VLOOKUP("LULUCF|NOx|Infant mortality", US_national_yearly!$D:$AM, 36, FALSE) / VLOOKUP("LULUCF|NOx|Infant mortality", US_national_yearly!$D:$AM, 10, FALSE), 1)</f>
        <v>2.6574554602990248E-6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9.1993432969689655E-3</v>
      </c>
      <c r="C6" s="7">
        <f>$B6 * IFERROR(VLOOKUP("LULUCF|NOx|Asthma symptoms cough", US_national_yearly!$D:$AM, 11, FALSE) / VLOOKUP("LULUCF|NOx|Asthma symptoms cough", US_national_yearly!$D:$AM, 10, FALSE), 1)</f>
        <v>9.3251133601694562E-3</v>
      </c>
      <c r="D6" s="7">
        <f>$B6 * IFERROR(VLOOKUP("LULUCF|NOx|Asthma symptoms cough", US_national_yearly!$D:$AM, 12, FALSE) / VLOOKUP("LULUCF|NOx|Asthma symptoms cough", US_national_yearly!$D:$AM, 10, FALSE), 1)</f>
        <v>9.4508834233699452E-3</v>
      </c>
      <c r="E6" s="7">
        <f>$B6 * IFERROR(VLOOKUP("LULUCF|NOx|Asthma symptoms cough", US_national_yearly!$D:$AM, 13, FALSE) / VLOOKUP("LULUCF|NOx|Asthma symptoms cough", US_national_yearly!$D:$AM, 10, FALSE), 1)</f>
        <v>9.5766534865704359E-3</v>
      </c>
      <c r="F6" s="7">
        <f>$B6 * IFERROR(VLOOKUP("LULUCF|NOx|Asthma symptoms cough", US_national_yearly!$D:$AM, 14, FALSE) / VLOOKUP("LULUCF|NOx|Asthma symptoms cough", US_national_yearly!$D:$AM, 10, FALSE), 1)</f>
        <v>9.7024235497709267E-3</v>
      </c>
      <c r="G6" s="7">
        <f>$B6 * IFERROR(VLOOKUP("LULUCF|NOx|Asthma symptoms cough", US_national_yearly!$D:$AM, 15, FALSE) / VLOOKUP("LULUCF|NOx|Asthma symptoms cough", US_national_yearly!$D:$AM, 10, FALSE), 1)</f>
        <v>9.8028333700575562E-3</v>
      </c>
      <c r="H6" s="7">
        <f>$B6 * IFERROR(VLOOKUP("LULUCF|NOx|Asthma symptoms cough", US_national_yearly!$D:$AM, 16, FALSE) / VLOOKUP("LULUCF|NOx|Asthma symptoms cough", US_national_yearly!$D:$AM, 10, FALSE), 1)</f>
        <v>9.9032431903441891E-3</v>
      </c>
      <c r="I6" s="7">
        <f>$B6 * IFERROR(VLOOKUP("LULUCF|NOx|Asthma symptoms cough", US_national_yearly!$D:$AM, 17, FALSE) / VLOOKUP("LULUCF|NOx|Asthma symptoms cough", US_national_yearly!$D:$AM, 10, FALSE), 1)</f>
        <v>9.9378028150530276E-3</v>
      </c>
      <c r="J6" s="7">
        <f>$B6 * IFERROR(VLOOKUP("LULUCF|NOx|Asthma symptoms cough", US_national_yearly!$D:$AM, 18, FALSE) / VLOOKUP("LULUCF|NOx|Asthma symptoms cough", US_national_yearly!$D:$AM, 10, FALSE), 1)</f>
        <v>9.9723624397618678E-3</v>
      </c>
      <c r="K6" s="7">
        <f>$B6 * IFERROR(VLOOKUP("LULUCF|NOx|Asthma symptoms cough", US_national_yearly!$D:$AM, 19, FALSE) / VLOOKUP("LULUCF|NOx|Asthma symptoms cough", US_national_yearly!$D:$AM, 10, FALSE), 1)</f>
        <v>1.0006922064470706E-2</v>
      </c>
      <c r="L6" s="7">
        <f>$B6 * IFERROR(VLOOKUP("LULUCF|NOx|Asthma symptoms cough", US_national_yearly!$D:$AM, 20, FALSE) / VLOOKUP("LULUCF|NOx|Asthma symptoms cough", US_national_yearly!$D:$AM, 10, FALSE), 1)</f>
        <v>1.0041481689179545E-2</v>
      </c>
      <c r="M6" s="7">
        <f>$B6 * IFERROR(VLOOKUP("LULUCF|NOx|Asthma symptoms cough", US_national_yearly!$D:$AM, 21, FALSE) / VLOOKUP("LULUCF|NOx|Asthma symptoms cough", US_national_yearly!$D:$AM, 10, FALSE), 1)</f>
        <v>1.0076041313888385E-2</v>
      </c>
      <c r="N6" s="7">
        <f>$B6 * IFERROR(VLOOKUP("LULUCF|NOx|Asthma symptoms cough", US_national_yearly!$D:$AM, 22, FALSE) / VLOOKUP("LULUCF|NOx|Asthma symptoms cough", US_national_yearly!$D:$AM, 10, FALSE), 1)</f>
        <v>1.0116115772299174E-2</v>
      </c>
      <c r="O6" s="7">
        <f>$B6 * IFERROR(VLOOKUP("LULUCF|NOx|Asthma symptoms cough", US_national_yearly!$D:$AM, 23, FALSE) / VLOOKUP("LULUCF|NOx|Asthma symptoms cough", US_national_yearly!$D:$AM, 10, FALSE), 1)</f>
        <v>1.0156190230709966E-2</v>
      </c>
      <c r="P6" s="7">
        <f>$B6 * IFERROR(VLOOKUP("LULUCF|NOx|Asthma symptoms cough", US_national_yearly!$D:$AM, 24, FALSE) / VLOOKUP("LULUCF|NOx|Asthma symptoms cough", US_national_yearly!$D:$AM, 10, FALSE), 1)</f>
        <v>1.0196264689120755E-2</v>
      </c>
      <c r="Q6" s="7">
        <f>$B6 * IFERROR(VLOOKUP("LULUCF|NOx|Asthma symptoms cough", US_national_yearly!$D:$AM, 25, FALSE) / VLOOKUP("LULUCF|NOx|Asthma symptoms cough", US_national_yearly!$D:$AM, 10, FALSE), 1)</f>
        <v>1.0236339147531547E-2</v>
      </c>
      <c r="R6" s="7">
        <f>$B6 * IFERROR(VLOOKUP("LULUCF|NOx|Asthma symptoms cough", US_national_yearly!$D:$AM, 26, FALSE) / VLOOKUP("LULUCF|NOx|Asthma symptoms cough", US_national_yearly!$D:$AM, 10, FALSE), 1)</f>
        <v>1.0276413605942336E-2</v>
      </c>
      <c r="S6" s="7">
        <f>$B6 * IFERROR(VLOOKUP("LULUCF|NOx|Asthma symptoms cough", US_national_yearly!$D:$AM, 27, FALSE) / VLOOKUP("LULUCF|NOx|Asthma symptoms cough", US_national_yearly!$D:$AM, 10, FALSE), 1)</f>
        <v>1.0328763612247254E-2</v>
      </c>
      <c r="T6" s="7">
        <f>$B6 * IFERROR(VLOOKUP("LULUCF|NOx|Asthma symptoms cough", US_national_yearly!$D:$AM, 28, FALSE) / VLOOKUP("LULUCF|NOx|Asthma symptoms cough", US_national_yearly!$D:$AM, 10, FALSE), 1)</f>
        <v>1.038111361855217E-2</v>
      </c>
      <c r="U6" s="7">
        <f>$B6 * IFERROR(VLOOKUP("LULUCF|NOx|Asthma symptoms cough", US_national_yearly!$D:$AM, 29, FALSE) / VLOOKUP("LULUCF|NOx|Asthma symptoms cough", US_national_yearly!$D:$AM, 10, FALSE), 1)</f>
        <v>1.0433463624857083E-2</v>
      </c>
      <c r="V6" s="7">
        <f>$B6 * IFERROR(VLOOKUP("LULUCF|NOx|Asthma symptoms cough", US_national_yearly!$D:$AM, 30, FALSE) / VLOOKUP("LULUCF|NOx|Asthma symptoms cough", US_national_yearly!$D:$AM, 10, FALSE), 1)</f>
        <v>1.0485813631162001E-2</v>
      </c>
      <c r="W6" s="7">
        <f>$B6 * IFERROR(VLOOKUP("LULUCF|NOx|Asthma symptoms cough", US_national_yearly!$D:$AM, 31, FALSE) / VLOOKUP("LULUCF|NOx|Asthma symptoms cough", US_national_yearly!$D:$AM, 10, FALSE), 1)</f>
        <v>1.0538163637466917E-2</v>
      </c>
      <c r="X6" s="7">
        <f>$B6 * IFERROR(VLOOKUP("LULUCF|NOx|Asthma symptoms cough", US_national_yearly!$D:$AM, 32, FALSE) / VLOOKUP("LULUCF|NOx|Asthma symptoms cough", US_national_yearly!$D:$AM, 10, FALSE), 1)</f>
        <v>1.0586804315263513E-2</v>
      </c>
      <c r="Y6" s="7">
        <f>$B6 * IFERROR(VLOOKUP("LULUCF|NOx|Asthma symptoms cough", US_national_yearly!$D:$AM, 33, FALSE) / VLOOKUP("LULUCF|NOx|Asthma symptoms cough", US_national_yearly!$D:$AM, 10, FALSE), 1)</f>
        <v>1.0635444993060107E-2</v>
      </c>
      <c r="Z6" s="7">
        <f>$B6 * IFERROR(VLOOKUP("LULUCF|NOx|Asthma symptoms cough", US_national_yearly!$D:$AM, 34, FALSE) / VLOOKUP("LULUCF|NOx|Asthma symptoms cough", US_national_yearly!$D:$AM, 10, FALSE), 1)</f>
        <v>1.0684085670856703E-2</v>
      </c>
      <c r="AA6" s="7">
        <f>$B6 * IFERROR(VLOOKUP("LULUCF|NOx|Asthma symptoms cough", US_national_yearly!$D:$AM, 35, FALSE) / VLOOKUP("LULUCF|NOx|Asthma symptoms cough", US_national_yearly!$D:$AM, 10, FALSE), 1)</f>
        <v>1.0732726348653297E-2</v>
      </c>
      <c r="AB6" s="7">
        <f>$B6 * IFERROR(VLOOKUP("LULUCF|NOx|Asthma symptoms cough", US_national_yearly!$D:$AM, 36, FALSE) / VLOOKUP("LULUCF|NOx|Asthma symptoms cough", US_national_yearly!$D:$AM, 10, FALSE), 1)</f>
        <v>1.0781367026449894E-2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1.2387948382590819E-2</v>
      </c>
      <c r="C7" s="7">
        <f>$B7 * IFERROR(VLOOKUP("LULUCF|NOx|Asthma symptoms shortness of breath", US_national_yearly!$D:$AM, 11, FALSE) / VLOOKUP("LULUCF|NOx|Asthma symptoms shortness of breath", US_national_yearly!$D:$AM, 10, FALSE), 1)</f>
        <v>1.255731189034222E-2</v>
      </c>
      <c r="D7" s="7">
        <f>$B7 * IFERROR(VLOOKUP("LULUCF|NOx|Asthma symptoms shortness of breath", US_national_yearly!$D:$AM, 12, FALSE) / VLOOKUP("LULUCF|NOx|Asthma symptoms shortness of breath", US_national_yearly!$D:$AM, 10, FALSE), 1)</f>
        <v>1.2726675398093617E-2</v>
      </c>
      <c r="E7" s="7">
        <f>$B7 * IFERROR(VLOOKUP("LULUCF|NOx|Asthma symptoms shortness of breath", US_national_yearly!$D:$AM, 13, FALSE) / VLOOKUP("LULUCF|NOx|Asthma symptoms shortness of breath", US_national_yearly!$D:$AM, 10, FALSE), 1)</f>
        <v>1.2896038905845017E-2</v>
      </c>
      <c r="F7" s="7">
        <f>$B7 * IFERROR(VLOOKUP("LULUCF|NOx|Asthma symptoms shortness of breath", US_national_yearly!$D:$AM, 14, FALSE) / VLOOKUP("LULUCF|NOx|Asthma symptoms shortness of breath", US_national_yearly!$D:$AM, 10, FALSE), 1)</f>
        <v>1.3065402413596418E-2</v>
      </c>
      <c r="G7" s="7">
        <f>$B7 * IFERROR(VLOOKUP("LULUCF|NOx|Asthma symptoms shortness of breath", US_national_yearly!$D:$AM, 15, FALSE) / VLOOKUP("LULUCF|NOx|Asthma symptoms shortness of breath", US_national_yearly!$D:$AM, 10, FALSE), 1)</f>
        <v>1.3200615507467163E-2</v>
      </c>
      <c r="H7" s="7">
        <f>$B7 * IFERROR(VLOOKUP("LULUCF|NOx|Asthma symptoms shortness of breath", US_national_yearly!$D:$AM, 16, FALSE) / VLOOKUP("LULUCF|NOx|Asthma symptoms shortness of breath", US_national_yearly!$D:$AM, 10, FALSE), 1)</f>
        <v>1.3335828601337906E-2</v>
      </c>
      <c r="I7" s="7">
        <f>$B7 * IFERROR(VLOOKUP("LULUCF|NOx|Asthma symptoms shortness of breath", US_national_yearly!$D:$AM, 17, FALSE) / VLOOKUP("LULUCF|NOx|Asthma symptoms shortness of breath", US_national_yearly!$D:$AM, 10, FALSE), 1)</f>
        <v>1.3382367015043745E-2</v>
      </c>
      <c r="J7" s="7">
        <f>$B7 * IFERROR(VLOOKUP("LULUCF|NOx|Asthma symptoms shortness of breath", US_national_yearly!$D:$AM, 18, FALSE) / VLOOKUP("LULUCF|NOx|Asthma symptoms shortness of breath", US_national_yearly!$D:$AM, 10, FALSE), 1)</f>
        <v>1.3428905428749584E-2</v>
      </c>
      <c r="K7" s="7">
        <f>$B7 * IFERROR(VLOOKUP("LULUCF|NOx|Asthma symptoms shortness of breath", US_national_yearly!$D:$AM, 19, FALSE) / VLOOKUP("LULUCF|NOx|Asthma symptoms shortness of breath", US_national_yearly!$D:$AM, 10, FALSE), 1)</f>
        <v>1.3475443842455423E-2</v>
      </c>
      <c r="L7" s="7">
        <f>$B7 * IFERROR(VLOOKUP("LULUCF|NOx|Asthma symptoms shortness of breath", US_national_yearly!$D:$AM, 20, FALSE) / VLOOKUP("LULUCF|NOx|Asthma symptoms shortness of breath", US_national_yearly!$D:$AM, 10, FALSE), 1)</f>
        <v>1.3521982256161262E-2</v>
      </c>
      <c r="M7" s="7">
        <f>$B7 * IFERROR(VLOOKUP("LULUCF|NOx|Asthma symptoms shortness of breath", US_national_yearly!$D:$AM, 21, FALSE) / VLOOKUP("LULUCF|NOx|Asthma symptoms shortness of breath", US_national_yearly!$D:$AM, 10, FALSE), 1)</f>
        <v>1.35685206698671E-2</v>
      </c>
      <c r="N7" s="7">
        <f>$B7 * IFERROR(VLOOKUP("LULUCF|NOx|Asthma symptoms shortness of breath", US_national_yearly!$D:$AM, 22, FALSE) / VLOOKUP("LULUCF|NOx|Asthma symptoms shortness of breath", US_national_yearly!$D:$AM, 10, FALSE), 1)</f>
        <v>1.3622485426330299E-2</v>
      </c>
      <c r="O7" s="7">
        <f>$B7 * IFERROR(VLOOKUP("LULUCF|NOx|Asthma symptoms shortness of breath", US_national_yearly!$D:$AM, 23, FALSE) / VLOOKUP("LULUCF|NOx|Asthma symptoms shortness of breath", US_national_yearly!$D:$AM, 10, FALSE), 1)</f>
        <v>1.3676450182793499E-2</v>
      </c>
      <c r="P7" s="7">
        <f>$B7 * IFERROR(VLOOKUP("LULUCF|NOx|Asthma symptoms shortness of breath", US_national_yearly!$D:$AM, 24, FALSE) / VLOOKUP("LULUCF|NOx|Asthma symptoms shortness of breath", US_national_yearly!$D:$AM, 10, FALSE), 1)</f>
        <v>1.3730414939256695E-2</v>
      </c>
      <c r="Q7" s="7">
        <f>$B7 * IFERROR(VLOOKUP("LULUCF|NOx|Asthma symptoms shortness of breath", US_national_yearly!$D:$AM, 25, FALSE) / VLOOKUP("LULUCF|NOx|Asthma symptoms shortness of breath", US_national_yearly!$D:$AM, 10, FALSE), 1)</f>
        <v>1.3784379695719893E-2</v>
      </c>
      <c r="R7" s="7">
        <f>$B7 * IFERROR(VLOOKUP("LULUCF|NOx|Asthma symptoms shortness of breath", US_national_yearly!$D:$AM, 26, FALSE) / VLOOKUP("LULUCF|NOx|Asthma symptoms shortness of breath", US_national_yearly!$D:$AM, 10, FALSE), 1)</f>
        <v>1.3838344452183092E-2</v>
      </c>
      <c r="S7" s="7">
        <f>$B7 * IFERROR(VLOOKUP("LULUCF|NOx|Asthma symptoms shortness of breath", US_national_yearly!$D:$AM, 27, FALSE) / VLOOKUP("LULUCF|NOx|Asthma symptoms shortness of breath", US_national_yearly!$D:$AM, 10, FALSE), 1)</f>
        <v>1.3908839611969159E-2</v>
      </c>
      <c r="T7" s="7">
        <f>$B7 * IFERROR(VLOOKUP("LULUCF|NOx|Asthma symptoms shortness of breath", US_national_yearly!$D:$AM, 28, FALSE) / VLOOKUP("LULUCF|NOx|Asthma symptoms shortness of breath", US_national_yearly!$D:$AM, 10, FALSE), 1)</f>
        <v>1.3979334771755227E-2</v>
      </c>
      <c r="U7" s="7">
        <f>$B7 * IFERROR(VLOOKUP("LULUCF|NOx|Asthma symptoms shortness of breath", US_national_yearly!$D:$AM, 29, FALSE) / VLOOKUP("LULUCF|NOx|Asthma symptoms shortness of breath", US_national_yearly!$D:$AM, 10, FALSE), 1)</f>
        <v>1.4049829931541292E-2</v>
      </c>
      <c r="V7" s="7">
        <f>$B7 * IFERROR(VLOOKUP("LULUCF|NOx|Asthma symptoms shortness of breath", US_national_yearly!$D:$AM, 30, FALSE) / VLOOKUP("LULUCF|NOx|Asthma symptoms shortness of breath", US_national_yearly!$D:$AM, 10, FALSE), 1)</f>
        <v>1.4120325091327355E-2</v>
      </c>
      <c r="W7" s="7">
        <f>$B7 * IFERROR(VLOOKUP("LULUCF|NOx|Asthma symptoms shortness of breath", US_national_yearly!$D:$AM, 31, FALSE) / VLOOKUP("LULUCF|NOx|Asthma symptoms shortness of breath", US_national_yearly!$D:$AM, 10, FALSE), 1)</f>
        <v>1.4190820251113422E-2</v>
      </c>
      <c r="X7" s="7">
        <f>$B7 * IFERROR(VLOOKUP("LULUCF|NOx|Asthma symptoms shortness of breath", US_national_yearly!$D:$AM, 32, FALSE) / VLOOKUP("LULUCF|NOx|Asthma symptoms shortness of breath", US_national_yearly!$D:$AM, 10, FALSE), 1)</f>
        <v>1.425632038364716E-2</v>
      </c>
      <c r="Y7" s="7">
        <f>$B7 * IFERROR(VLOOKUP("LULUCF|NOx|Asthma symptoms shortness of breath", US_national_yearly!$D:$AM, 33, FALSE) / VLOOKUP("LULUCF|NOx|Asthma symptoms shortness of breath", US_national_yearly!$D:$AM, 10, FALSE), 1)</f>
        <v>1.4321820516180901E-2</v>
      </c>
      <c r="Z7" s="7">
        <f>$B7 * IFERROR(VLOOKUP("LULUCF|NOx|Asthma symptoms shortness of breath", US_national_yearly!$D:$AM, 34, FALSE) / VLOOKUP("LULUCF|NOx|Asthma symptoms shortness of breath", US_national_yearly!$D:$AM, 10, FALSE), 1)</f>
        <v>1.4387320648714643E-2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1.4452820781248384E-2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1.4518320913782124E-2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1.8927763252480946E-2</v>
      </c>
      <c r="C8" s="7">
        <f>$B8 * IFERROR(VLOOKUP("LULUCF|NOx|Asthma symptoms wheeze", US_national_yearly!$D:$AM, 11, FALSE) / VLOOKUP("LULUCF|NOx|Asthma symptoms wheeze", US_national_yearly!$D:$AM, 10, FALSE), 1)</f>
        <v>1.9186536722167139E-2</v>
      </c>
      <c r="D8" s="7">
        <f>$B8 * IFERROR(VLOOKUP("LULUCF|NOx|Asthma symptoms wheeze", US_national_yearly!$D:$AM, 12, FALSE) / VLOOKUP("LULUCF|NOx|Asthma symptoms wheeze", US_national_yearly!$D:$AM, 10, FALSE), 1)</f>
        <v>1.9445310191853343E-2</v>
      </c>
      <c r="E8" s="7">
        <f>$B8 * IFERROR(VLOOKUP("LULUCF|NOx|Asthma symptoms wheeze", US_national_yearly!$D:$AM, 13, FALSE) / VLOOKUP("LULUCF|NOx|Asthma symptoms wheeze", US_national_yearly!$D:$AM, 10, FALSE), 1)</f>
        <v>1.9704083661539539E-2</v>
      </c>
      <c r="F8" s="7">
        <f>$B8 * IFERROR(VLOOKUP("LULUCF|NOx|Asthma symptoms wheeze", US_national_yearly!$D:$AM, 14, FALSE) / VLOOKUP("LULUCF|NOx|Asthma symptoms wheeze", US_national_yearly!$D:$AM, 10, FALSE), 1)</f>
        <v>1.9962857131225732E-2</v>
      </c>
      <c r="G8" s="7">
        <f>$B8 * IFERROR(VLOOKUP("LULUCF|NOx|Asthma symptoms wheeze", US_national_yearly!$D:$AM, 15, FALSE) / VLOOKUP("LULUCF|NOx|Asthma symptoms wheeze", US_national_yearly!$D:$AM, 10, FALSE), 1)</f>
        <v>2.0169451585774711E-2</v>
      </c>
      <c r="H8" s="7">
        <f>$B8 * IFERROR(VLOOKUP("LULUCF|NOx|Asthma symptoms wheeze", US_national_yearly!$D:$AM, 16, FALSE) / VLOOKUP("LULUCF|NOx|Asthma symptoms wheeze", US_national_yearly!$D:$AM, 10, FALSE), 1)</f>
        <v>2.0376046040323694E-2</v>
      </c>
      <c r="I8" s="7">
        <f>$B8 * IFERROR(VLOOKUP("LULUCF|NOx|Asthma symptoms wheeze", US_national_yearly!$D:$AM, 17, FALSE) / VLOOKUP("LULUCF|NOx|Asthma symptoms wheeze", US_national_yearly!$D:$AM, 10, FALSE), 1)</f>
        <v>2.0447152898419127E-2</v>
      </c>
      <c r="J8" s="7">
        <f>$B8 * IFERROR(VLOOKUP("LULUCF|NOx|Asthma symptoms wheeze", US_national_yearly!$D:$AM, 18, FALSE) / VLOOKUP("LULUCF|NOx|Asthma symptoms wheeze", US_national_yearly!$D:$AM, 10, FALSE), 1)</f>
        <v>2.0518259756514563E-2</v>
      </c>
      <c r="K8" s="7">
        <f>$B8 * IFERROR(VLOOKUP("LULUCF|NOx|Asthma symptoms wheeze", US_national_yearly!$D:$AM, 19, FALSE) / VLOOKUP("LULUCF|NOx|Asthma symptoms wheeze", US_national_yearly!$D:$AM, 10, FALSE), 1)</f>
        <v>2.0589366614609989E-2</v>
      </c>
      <c r="L8" s="7">
        <f>$B8 * IFERROR(VLOOKUP("LULUCF|NOx|Asthma symptoms wheeze", US_national_yearly!$D:$AM, 20, FALSE) / VLOOKUP("LULUCF|NOx|Asthma symptoms wheeze", US_national_yearly!$D:$AM, 10, FALSE), 1)</f>
        <v>2.0660473472705426E-2</v>
      </c>
      <c r="M8" s="7">
        <f>$B8 * IFERROR(VLOOKUP("LULUCF|NOx|Asthma symptoms wheeze", US_national_yearly!$D:$AM, 21, FALSE) / VLOOKUP("LULUCF|NOx|Asthma symptoms wheeze", US_national_yearly!$D:$AM, 10, FALSE), 1)</f>
        <v>2.0731580330800858E-2</v>
      </c>
      <c r="N8" s="7">
        <f>$B8 * IFERROR(VLOOKUP("LULUCF|NOx|Asthma symptoms wheeze", US_national_yearly!$D:$AM, 22, FALSE) / VLOOKUP("LULUCF|NOx|Asthma symptoms wheeze", US_national_yearly!$D:$AM, 10, FALSE), 1)</f>
        <v>2.0814034027928988E-2</v>
      </c>
      <c r="O8" s="7">
        <f>$B8 * IFERROR(VLOOKUP("LULUCF|NOx|Asthma symptoms wheeze", US_national_yearly!$D:$AM, 23, FALSE) / VLOOKUP("LULUCF|NOx|Asthma symptoms wheeze", US_national_yearly!$D:$AM, 10, FALSE), 1)</f>
        <v>2.0896487725057117E-2</v>
      </c>
      <c r="P8" s="7">
        <f>$B8 * IFERROR(VLOOKUP("LULUCF|NOx|Asthma symptoms wheeze", US_national_yearly!$D:$AM, 24, FALSE) / VLOOKUP("LULUCF|NOx|Asthma symptoms wheeze", US_national_yearly!$D:$AM, 10, FALSE), 1)</f>
        <v>2.0978941422185243E-2</v>
      </c>
      <c r="Q8" s="7">
        <f>$B8 * IFERROR(VLOOKUP("LULUCF|NOx|Asthma symptoms wheeze", US_national_yearly!$D:$AM, 25, FALSE) / VLOOKUP("LULUCF|NOx|Asthma symptoms wheeze", US_national_yearly!$D:$AM, 10, FALSE), 1)</f>
        <v>2.1061395119313372E-2</v>
      </c>
      <c r="R8" s="7">
        <f>$B8 * IFERROR(VLOOKUP("LULUCF|NOx|Asthma symptoms wheeze", US_national_yearly!$D:$AM, 26, FALSE) / VLOOKUP("LULUCF|NOx|Asthma symptoms wheeze", US_national_yearly!$D:$AM, 10, FALSE), 1)</f>
        <v>2.1143848816441498E-2</v>
      </c>
      <c r="S8" s="7">
        <f>$B8 * IFERROR(VLOOKUP("LULUCF|NOx|Asthma symptoms wheeze", US_national_yearly!$D:$AM, 27, FALSE) / VLOOKUP("LULUCF|NOx|Asthma symptoms wheeze", US_national_yearly!$D:$AM, 10, FALSE), 1)</f>
        <v>2.1251559606134968E-2</v>
      </c>
      <c r="T8" s="7">
        <f>$B8 * IFERROR(VLOOKUP("LULUCF|NOx|Asthma symptoms wheeze", US_national_yearly!$D:$AM, 28, FALSE) / VLOOKUP("LULUCF|NOx|Asthma symptoms wheeze", US_national_yearly!$D:$AM, 10, FALSE), 1)</f>
        <v>2.1359270395828436E-2</v>
      </c>
      <c r="U8" s="7">
        <f>$B8 * IFERROR(VLOOKUP("LULUCF|NOx|Asthma symptoms wheeze", US_national_yearly!$D:$AM, 29, FALSE) / VLOOKUP("LULUCF|NOx|Asthma symptoms wheeze", US_national_yearly!$D:$AM, 10, FALSE), 1)</f>
        <v>2.1466981185521903E-2</v>
      </c>
      <c r="V8" s="7">
        <f>$B8 * IFERROR(VLOOKUP("LULUCF|NOx|Asthma symptoms wheeze", US_national_yearly!$D:$AM, 30, FALSE) / VLOOKUP("LULUCF|NOx|Asthma symptoms wheeze", US_national_yearly!$D:$AM, 10, FALSE), 1)</f>
        <v>2.1574691975215377E-2</v>
      </c>
      <c r="W8" s="7">
        <f>$B8 * IFERROR(VLOOKUP("LULUCF|NOx|Asthma symptoms wheeze", US_national_yearly!$D:$AM, 31, FALSE) / VLOOKUP("LULUCF|NOx|Asthma symptoms wheeze", US_national_yearly!$D:$AM, 10, FALSE), 1)</f>
        <v>2.1682402764908841E-2</v>
      </c>
      <c r="X8" s="7">
        <f>$B8 * IFERROR(VLOOKUP("LULUCF|NOx|Asthma symptoms wheeze", US_national_yearly!$D:$AM, 32, FALSE) / VLOOKUP("LULUCF|NOx|Asthma symptoms wheeze", US_national_yearly!$D:$AM, 10, FALSE), 1)</f>
        <v>2.1782481564983882E-2</v>
      </c>
      <c r="Y8" s="7">
        <f>$B8 * IFERROR(VLOOKUP("LULUCF|NOx|Asthma symptoms wheeze", US_national_yearly!$D:$AM, 33, FALSE) / VLOOKUP("LULUCF|NOx|Asthma symptoms wheeze", US_national_yearly!$D:$AM, 10, FALSE), 1)</f>
        <v>2.1882560365058916E-2</v>
      </c>
      <c r="Z8" s="7">
        <f>$B8 * IFERROR(VLOOKUP("LULUCF|NOx|Asthma symptoms wheeze", US_national_yearly!$D:$AM, 34, FALSE) / VLOOKUP("LULUCF|NOx|Asthma symptoms wheeze", US_national_yearly!$D:$AM, 10, FALSE), 1)</f>
        <v>2.1982639165133957E-2</v>
      </c>
      <c r="AA8" s="7">
        <f>$B8 * IFERROR(VLOOKUP("LULUCF|NOx|Asthma symptoms wheeze", US_national_yearly!$D:$AM, 35, FALSE) / VLOOKUP("LULUCF|NOx|Asthma symptoms wheeze", US_national_yearly!$D:$AM, 10, FALSE), 1)</f>
        <v>2.2082717965208991E-2</v>
      </c>
      <c r="AB8" s="7">
        <f>$B8 * IFERROR(VLOOKUP("LULUCF|NOx|Asthma symptoms wheeze", US_national_yearly!$D:$AM, 36, FALSE) / VLOOKUP("LULUCF|NOx|Asthma symptoms wheeze", US_national_yearly!$D:$AM, 10, FALSE), 1)</f>
        <v>2.2182796765284032E-2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3.9449216456175797E-4</v>
      </c>
      <c r="C12" s="7">
        <f>$B12 * IFERROR(VLOOKUP("LULUCF|NOx|Respiratory hospital admissions", US_national_yearly!$D:$AM, 11, FALSE) / VLOOKUP("LULUCF|NOx|Respiratory hospital admissions", US_national_yearly!$D:$AM, 10, FALSE), 1)</f>
        <v>4.0433263933455093E-4</v>
      </c>
      <c r="D12" s="7">
        <f>$B12 * IFERROR(VLOOKUP("LULUCF|NOx|Respiratory hospital admissions", US_national_yearly!$D:$AM, 12, FALSE) / VLOOKUP("LULUCF|NOx|Respiratory hospital admissions", US_national_yearly!$D:$AM, 10, FALSE), 1)</f>
        <v>4.1417311410734396E-4</v>
      </c>
      <c r="E12" s="7">
        <f>$B12 * IFERROR(VLOOKUP("LULUCF|NOx|Respiratory hospital admissions", US_national_yearly!$D:$AM, 13, FALSE) / VLOOKUP("LULUCF|NOx|Respiratory hospital admissions", US_national_yearly!$D:$AM, 10, FALSE), 1)</f>
        <v>4.2401358888013698E-4</v>
      </c>
      <c r="F12" s="7">
        <f>$B12 * IFERROR(VLOOKUP("LULUCF|NOx|Respiratory hospital admissions", US_national_yearly!$D:$AM, 14, FALSE) / VLOOKUP("LULUCF|NOx|Respiratory hospital admissions", US_national_yearly!$D:$AM, 10, FALSE), 1)</f>
        <v>4.3385406365293E-4</v>
      </c>
      <c r="G12" s="7">
        <f>$B12 * IFERROR(VLOOKUP("LULUCF|NOx|Respiratory hospital admissions", US_national_yearly!$D:$AM, 15, FALSE) / VLOOKUP("LULUCF|NOx|Respiratory hospital admissions", US_national_yearly!$D:$AM, 10, FALSE), 1)</f>
        <v>4.4326189246561294E-4</v>
      </c>
      <c r="H12" s="7">
        <f>$B12 * IFERROR(VLOOKUP("LULUCF|NOx|Respiratory hospital admissions", US_national_yearly!$D:$AM, 16, FALSE) / VLOOKUP("LULUCF|NOx|Respiratory hospital admissions", US_national_yearly!$D:$AM, 10, FALSE), 1)</f>
        <v>4.5266972127829582E-4</v>
      </c>
      <c r="I12" s="7">
        <f>$B12 * IFERROR(VLOOKUP("LULUCF|NOx|Respiratory hospital admissions", US_national_yearly!$D:$AM, 17, FALSE) / VLOOKUP("LULUCF|NOx|Respiratory hospital admissions", US_national_yearly!$D:$AM, 10, FALSE), 1)</f>
        <v>4.606571613456512E-4</v>
      </c>
      <c r="J12" s="7">
        <f>$B12 * IFERROR(VLOOKUP("LULUCF|NOx|Respiratory hospital admissions", US_national_yearly!$D:$AM, 18, FALSE) / VLOOKUP("LULUCF|NOx|Respiratory hospital admissions", US_national_yearly!$D:$AM, 10, FALSE), 1)</f>
        <v>4.6864460141300652E-4</v>
      </c>
      <c r="K12" s="7">
        <f>$B12 * IFERROR(VLOOKUP("LULUCF|NOx|Respiratory hospital admissions", US_national_yearly!$D:$AM, 19, FALSE) / VLOOKUP("LULUCF|NOx|Respiratory hospital admissions", US_national_yearly!$D:$AM, 10, FALSE), 1)</f>
        <v>4.766320414803619E-4</v>
      </c>
      <c r="L12" s="7">
        <f>$B12 * IFERROR(VLOOKUP("LULUCF|NOx|Respiratory hospital admissions", US_national_yearly!$D:$AM, 20, FALSE) / VLOOKUP("LULUCF|NOx|Respiratory hospital admissions", US_national_yearly!$D:$AM, 10, FALSE), 1)</f>
        <v>4.8461948154771733E-4</v>
      </c>
      <c r="M12" s="7">
        <f>$B12 * IFERROR(VLOOKUP("LULUCF|NOx|Respiratory hospital admissions", US_national_yearly!$D:$AM, 21, FALSE) / VLOOKUP("LULUCF|NOx|Respiratory hospital admissions", US_national_yearly!$D:$AM, 10, FALSE), 1)</f>
        <v>4.926069216150727E-4</v>
      </c>
      <c r="N12" s="7">
        <f>$B12 * IFERROR(VLOOKUP("LULUCF|NOx|Respiratory hospital admissions", US_national_yearly!$D:$AM, 22, FALSE) / VLOOKUP("LULUCF|NOx|Respiratory hospital admissions", US_national_yearly!$D:$AM, 10, FALSE), 1)</f>
        <v>4.9794666911043848E-4</v>
      </c>
      <c r="O12" s="7">
        <f>$B12 * IFERROR(VLOOKUP("LULUCF|NOx|Respiratory hospital admissions", US_national_yearly!$D:$AM, 23, FALSE) / VLOOKUP("LULUCF|NOx|Respiratory hospital admissions", US_national_yearly!$D:$AM, 10, FALSE), 1)</f>
        <v>5.0328641660580447E-4</v>
      </c>
      <c r="P12" s="7">
        <f>$B12 * IFERROR(VLOOKUP("LULUCF|NOx|Respiratory hospital admissions", US_national_yearly!$D:$AM, 24, FALSE) / VLOOKUP("LULUCF|NOx|Respiratory hospital admissions", US_national_yearly!$D:$AM, 10, FALSE), 1)</f>
        <v>5.0862616410117035E-4</v>
      </c>
      <c r="Q12" s="7">
        <f>$B12 * IFERROR(VLOOKUP("LULUCF|NOx|Respiratory hospital admissions", US_national_yearly!$D:$AM, 25, FALSE) / VLOOKUP("LULUCF|NOx|Respiratory hospital admissions", US_national_yearly!$D:$AM, 10, FALSE), 1)</f>
        <v>5.1396591159653634E-4</v>
      </c>
      <c r="R12" s="7">
        <f>$B12 * IFERROR(VLOOKUP("LULUCF|NOx|Respiratory hospital admissions", US_national_yearly!$D:$AM, 26, FALSE) / VLOOKUP("LULUCF|NOx|Respiratory hospital admissions", US_national_yearly!$D:$AM, 10, FALSE), 1)</f>
        <v>5.1930565909190222E-4</v>
      </c>
      <c r="S12" s="7">
        <f>$B12 * IFERROR(VLOOKUP("LULUCF|NOx|Respiratory hospital admissions", US_national_yearly!$D:$AM, 27, FALSE) / VLOOKUP("LULUCF|NOx|Respiratory hospital admissions", US_national_yearly!$D:$AM, 10, FALSE), 1)</f>
        <v>5.2216655110952218E-4</v>
      </c>
      <c r="T12" s="7">
        <f>$B12 * IFERROR(VLOOKUP("LULUCF|NOx|Respiratory hospital admissions", US_national_yearly!$D:$AM, 28, FALSE) / VLOOKUP("LULUCF|NOx|Respiratory hospital admissions", US_national_yearly!$D:$AM, 10, FALSE), 1)</f>
        <v>5.2502744312714204E-4</v>
      </c>
      <c r="U12" s="7">
        <f>$B12 * IFERROR(VLOOKUP("LULUCF|NOx|Respiratory hospital admissions", US_national_yearly!$D:$AM, 29, FALSE) / VLOOKUP("LULUCF|NOx|Respiratory hospital admissions", US_national_yearly!$D:$AM, 10, FALSE), 1)</f>
        <v>5.2788833514476189E-4</v>
      </c>
      <c r="V12" s="7">
        <f>$B12 * IFERROR(VLOOKUP("LULUCF|NOx|Respiratory hospital admissions", US_national_yearly!$D:$AM, 30, FALSE) / VLOOKUP("LULUCF|NOx|Respiratory hospital admissions", US_national_yearly!$D:$AM, 10, FALSE), 1)</f>
        <v>5.3074922716238174E-4</v>
      </c>
      <c r="W12" s="7">
        <f>$B12 * IFERROR(VLOOKUP("LULUCF|NOx|Respiratory hospital admissions", US_national_yearly!$D:$AM, 31, FALSE) / VLOOKUP("LULUCF|NOx|Respiratory hospital admissions", US_national_yearly!$D:$AM, 10, FALSE), 1)</f>
        <v>5.3361011918000171E-4</v>
      </c>
      <c r="X12" s="7">
        <f>$B12 * IFERROR(VLOOKUP("LULUCF|NOx|Respiratory hospital admissions", US_national_yearly!$D:$AM, 32, FALSE) / VLOOKUP("LULUCF|NOx|Respiratory hospital admissions", US_national_yearly!$D:$AM, 10, FALSE), 1)</f>
        <v>5.3556516719701003E-4</v>
      </c>
      <c r="Y12" s="7">
        <f>$B12 * IFERROR(VLOOKUP("LULUCF|NOx|Respiratory hospital admissions", US_national_yearly!$D:$AM, 33, FALSE) / VLOOKUP("LULUCF|NOx|Respiratory hospital admissions", US_national_yearly!$D:$AM, 10, FALSE), 1)</f>
        <v>5.3752021521401858E-4</v>
      </c>
      <c r="Z12" s="7">
        <f>$B12 * IFERROR(VLOOKUP("LULUCF|NOx|Respiratory hospital admissions", US_national_yearly!$D:$AM, 34, FALSE) / VLOOKUP("LULUCF|NOx|Respiratory hospital admissions", US_national_yearly!$D:$AM, 10, FALSE), 1)</f>
        <v>5.3947526323102702E-4</v>
      </c>
      <c r="AA12" s="7">
        <f>$B12 * IFERROR(VLOOKUP("LULUCF|NOx|Respiratory hospital admissions", US_national_yearly!$D:$AM, 35, FALSE) / VLOOKUP("LULUCF|NOx|Respiratory hospital admissions", US_national_yearly!$D:$AM, 10, FALSE), 1)</f>
        <v>5.4143031124803545E-4</v>
      </c>
      <c r="AB12" s="7">
        <f>$B12 * IFERROR(VLOOKUP("LULUCF|NOx|Respiratory hospital admissions", US_national_yearly!$D:$AM, 36, FALSE) / VLOOKUP("LULUCF|NOx|Respiratory hospital admissions", US_national_yearly!$D:$AM, 10, FALSE), 1)</f>
        <v>5.4338535926504378E-4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2.3223371893322901E-3</v>
      </c>
      <c r="C13" s="7">
        <f>$B13 * IFERROR(VLOOKUP("LULUCF|NOx|Non-fatal heart attacks", US_national_yearly!$D:$AM, 11, FALSE) / VLOOKUP("LULUCF|NOx|Non-fatal heart attacks", US_national_yearly!$D:$AM, 10, FALSE), 1)</f>
        <v>2.3887307634656899E-3</v>
      </c>
      <c r="D13" s="7">
        <f>$B13 * IFERROR(VLOOKUP("LULUCF|NOx|Non-fatal heart attacks", US_national_yearly!$D:$AM, 12, FALSE) / VLOOKUP("LULUCF|NOx|Non-fatal heart attacks", US_national_yearly!$D:$AM, 10, FALSE), 1)</f>
        <v>2.4551243375990897E-3</v>
      </c>
      <c r="E13" s="7">
        <f>$B13 * IFERROR(VLOOKUP("LULUCF|NOx|Non-fatal heart attacks", US_national_yearly!$D:$AM, 13, FALSE) / VLOOKUP("LULUCF|NOx|Non-fatal heart attacks", US_national_yearly!$D:$AM, 10, FALSE), 1)</f>
        <v>2.521517911732489E-3</v>
      </c>
      <c r="F13" s="7">
        <f>$B13 * IFERROR(VLOOKUP("LULUCF|NOx|Non-fatal heart attacks", US_national_yearly!$D:$AM, 14, FALSE) / VLOOKUP("LULUCF|NOx|Non-fatal heart attacks", US_national_yearly!$D:$AM, 10, FALSE), 1)</f>
        <v>2.5879114858658888E-3</v>
      </c>
      <c r="G13" s="7">
        <f>$B13 * IFERROR(VLOOKUP("LULUCF|NOx|Non-fatal heart attacks", US_national_yearly!$D:$AM, 15, FALSE) / VLOOKUP("LULUCF|NOx|Non-fatal heart attacks", US_national_yearly!$D:$AM, 10, FALSE), 1)</f>
        <v>2.6499561429046579E-3</v>
      </c>
      <c r="H13" s="7">
        <f>$B13 * IFERROR(VLOOKUP("LULUCF|NOx|Non-fatal heart attacks", US_national_yearly!$D:$AM, 16, FALSE) / VLOOKUP("LULUCF|NOx|Non-fatal heart attacks", US_national_yearly!$D:$AM, 10, FALSE), 1)</f>
        <v>2.7120007999434266E-3</v>
      </c>
      <c r="I13" s="7">
        <f>$B13 * IFERROR(VLOOKUP("LULUCF|NOx|Non-fatal heart attacks", US_national_yearly!$D:$AM, 17, FALSE) / VLOOKUP("LULUCF|NOx|Non-fatal heart attacks", US_national_yearly!$D:$AM, 10, FALSE), 1)</f>
        <v>2.7609159196370059E-3</v>
      </c>
      <c r="J13" s="7">
        <f>$B13 * IFERROR(VLOOKUP("LULUCF|NOx|Non-fatal heart attacks", US_national_yearly!$D:$AM, 18, FALSE) / VLOOKUP("LULUCF|NOx|Non-fatal heart attacks", US_national_yearly!$D:$AM, 10, FALSE), 1)</f>
        <v>2.8098310393305861E-3</v>
      </c>
      <c r="K13" s="7">
        <f>$B13 * IFERROR(VLOOKUP("LULUCF|NOx|Non-fatal heart attacks", US_national_yearly!$D:$AM, 19, FALSE) / VLOOKUP("LULUCF|NOx|Non-fatal heart attacks", US_national_yearly!$D:$AM, 10, FALSE), 1)</f>
        <v>2.8587461590241642E-3</v>
      </c>
      <c r="L13" s="7">
        <f>$B13 * IFERROR(VLOOKUP("LULUCF|NOx|Non-fatal heart attacks", US_national_yearly!$D:$AM, 20, FALSE) / VLOOKUP("LULUCF|NOx|Non-fatal heart attacks", US_national_yearly!$D:$AM, 10, FALSE), 1)</f>
        <v>2.9076612787177457E-3</v>
      </c>
      <c r="M13" s="7">
        <f>$B13 * IFERROR(VLOOKUP("LULUCF|NOx|Non-fatal heart attacks", US_national_yearly!$D:$AM, 21, FALSE) / VLOOKUP("LULUCF|NOx|Non-fatal heart attacks", US_national_yearly!$D:$AM, 10, FALSE), 1)</f>
        <v>2.9565763984113246E-3</v>
      </c>
      <c r="N13" s="7">
        <f>$B13 * IFERROR(VLOOKUP("LULUCF|NOx|Non-fatal heart attacks", US_national_yearly!$D:$AM, 22, FALSE) / VLOOKUP("LULUCF|NOx|Non-fatal heart attacks", US_national_yearly!$D:$AM, 10, FALSE), 1)</f>
        <v>2.9860052178471621E-3</v>
      </c>
      <c r="O13" s="7">
        <f>$B13 * IFERROR(VLOOKUP("LULUCF|NOx|Non-fatal heart attacks", US_national_yearly!$D:$AM, 23, FALSE) / VLOOKUP("LULUCF|NOx|Non-fatal heart attacks", US_national_yearly!$D:$AM, 10, FALSE), 1)</f>
        <v>3.0154340372829996E-3</v>
      </c>
      <c r="P13" s="7">
        <f>$B13 * IFERROR(VLOOKUP("LULUCF|NOx|Non-fatal heart attacks", US_national_yearly!$D:$AM, 24, FALSE) / VLOOKUP("LULUCF|NOx|Non-fatal heart attacks", US_national_yearly!$D:$AM, 10, FALSE), 1)</f>
        <v>3.0448628567188367E-3</v>
      </c>
      <c r="Q13" s="7">
        <f>$B13 * IFERROR(VLOOKUP("LULUCF|NOx|Non-fatal heart attacks", US_national_yearly!$D:$AM, 25, FALSE) / VLOOKUP("LULUCF|NOx|Non-fatal heart attacks", US_national_yearly!$D:$AM, 10, FALSE), 1)</f>
        <v>3.0742916761546746E-3</v>
      </c>
      <c r="R13" s="7">
        <f>$B13 * IFERROR(VLOOKUP("LULUCF|NOx|Non-fatal heart attacks", US_national_yearly!$D:$AM, 26, FALSE) / VLOOKUP("LULUCF|NOx|Non-fatal heart attacks", US_national_yearly!$D:$AM, 10, FALSE), 1)</f>
        <v>3.1037204955905117E-3</v>
      </c>
      <c r="S13" s="7">
        <f>$B13 * IFERROR(VLOOKUP("LULUCF|NOx|Non-fatal heart attacks", US_national_yearly!$D:$AM, 27, FALSE) / VLOOKUP("LULUCF|NOx|Non-fatal heart attacks", US_national_yearly!$D:$AM, 10, FALSE), 1)</f>
        <v>3.1170696116272706E-3</v>
      </c>
      <c r="T13" s="7">
        <f>$B13 * IFERROR(VLOOKUP("LULUCF|NOx|Non-fatal heart attacks", US_national_yearly!$D:$AM, 28, FALSE) / VLOOKUP("LULUCF|NOx|Non-fatal heart attacks", US_national_yearly!$D:$AM, 10, FALSE), 1)</f>
        <v>3.1304187276640296E-3</v>
      </c>
      <c r="U13" s="7">
        <f>$B13 * IFERROR(VLOOKUP("LULUCF|NOx|Non-fatal heart attacks", US_national_yearly!$D:$AM, 29, FALSE) / VLOOKUP("LULUCF|NOx|Non-fatal heart attacks", US_national_yearly!$D:$AM, 10, FALSE), 1)</f>
        <v>3.1437678437007889E-3</v>
      </c>
      <c r="V13" s="7">
        <f>$B13 * IFERROR(VLOOKUP("LULUCF|NOx|Non-fatal heart attacks", US_national_yearly!$D:$AM, 30, FALSE) / VLOOKUP("LULUCF|NOx|Non-fatal heart attacks", US_national_yearly!$D:$AM, 10, FALSE), 1)</f>
        <v>3.1571169597375479E-3</v>
      </c>
      <c r="W13" s="7">
        <f>$B13 * IFERROR(VLOOKUP("LULUCF|NOx|Non-fatal heart attacks", US_national_yearly!$D:$AM, 31, FALSE) / VLOOKUP("LULUCF|NOx|Non-fatal heart attacks", US_national_yearly!$D:$AM, 10, FALSE), 1)</f>
        <v>3.1704660757743068E-3</v>
      </c>
      <c r="X13" s="7">
        <f>$B13 * IFERROR(VLOOKUP("LULUCF|NOx|Non-fatal heart attacks", US_national_yearly!$D:$AM, 32, FALSE) / VLOOKUP("LULUCF|NOx|Non-fatal heart attacks", US_national_yearly!$D:$AM, 10, FALSE), 1)</f>
        <v>3.1793866575166667E-3</v>
      </c>
      <c r="Y13" s="7">
        <f>$B13 * IFERROR(VLOOKUP("LULUCF|NOx|Non-fatal heart attacks", US_national_yearly!$D:$AM, 33, FALSE) / VLOOKUP("LULUCF|NOx|Non-fatal heart attacks", US_national_yearly!$D:$AM, 10, FALSE), 1)</f>
        <v>3.1883072392590271E-3</v>
      </c>
      <c r="Z13" s="7">
        <f>$B13 * IFERROR(VLOOKUP("LULUCF|NOx|Non-fatal heart attacks", US_national_yearly!$D:$AM, 34, FALSE) / VLOOKUP("LULUCF|NOx|Non-fatal heart attacks", US_national_yearly!$D:$AM, 10, FALSE), 1)</f>
        <v>3.1972278210013866E-3</v>
      </c>
      <c r="AA13" s="7">
        <f>$B13 * IFERROR(VLOOKUP("LULUCF|NOx|Non-fatal heart attacks", US_national_yearly!$D:$AM, 35, FALSE) / VLOOKUP("LULUCF|NOx|Non-fatal heart attacks", US_national_yearly!$D:$AM, 10, FALSE), 1)</f>
        <v>3.2061484027437466E-3</v>
      </c>
      <c r="AB13" s="7">
        <f>$B13 * IFERROR(VLOOKUP("LULUCF|NOx|Non-fatal heart attacks", US_national_yearly!$D:$AM, 36, FALSE) / VLOOKUP("LULUCF|NOx|Non-fatal heart attacks", US_national_yearly!$D:$AM, 10, FALSE), 1)</f>
        <v>3.215068984486107E-3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1.2672188183844826</v>
      </c>
      <c r="C14" s="7">
        <f>$B14 * IFERROR(VLOOKUP("LULUCF|NOx|Minor restricted activity days", US_national_yearly!$D:$AM, 11, FALSE) / VLOOKUP("LULUCF|NOx|Minor restricted activity days", US_national_yearly!$D:$AM, 10, FALSE), 1)</f>
        <v>1.2691616774959822</v>
      </c>
      <c r="D14" s="7">
        <f>$B14 * IFERROR(VLOOKUP("LULUCF|NOx|Minor restricted activity days", US_national_yearly!$D:$AM, 12, FALSE) / VLOOKUP("LULUCF|NOx|Minor restricted activity days", US_national_yearly!$D:$AM, 10, FALSE), 1)</f>
        <v>1.2711045366074822</v>
      </c>
      <c r="E14" s="7">
        <f>$B14 * IFERROR(VLOOKUP("LULUCF|NOx|Minor restricted activity days", US_national_yearly!$D:$AM, 13, FALSE) / VLOOKUP("LULUCF|NOx|Minor restricted activity days", US_national_yearly!$D:$AM, 10, FALSE), 1)</f>
        <v>1.2730473957189823</v>
      </c>
      <c r="F14" s="7">
        <f>$B14 * IFERROR(VLOOKUP("LULUCF|NOx|Minor restricted activity days", US_national_yearly!$D:$AM, 14, FALSE) / VLOOKUP("LULUCF|NOx|Minor restricted activity days", US_national_yearly!$D:$AM, 10, FALSE), 1)</f>
        <v>1.2749902548304819</v>
      </c>
      <c r="G14" s="7">
        <f>$B14 * IFERROR(VLOOKUP("LULUCF|NOx|Minor restricted activity days", US_national_yearly!$D:$AM, 15, FALSE) / VLOOKUP("LULUCF|NOx|Minor restricted activity days", US_national_yearly!$D:$AM, 10, FALSE), 1)</f>
        <v>1.2784985959456452</v>
      </c>
      <c r="H14" s="7">
        <f>$B14 * IFERROR(VLOOKUP("LULUCF|NOx|Minor restricted activity days", US_national_yearly!$D:$AM, 16, FALSE) / VLOOKUP("LULUCF|NOx|Minor restricted activity days", US_national_yearly!$D:$AM, 10, FALSE), 1)</f>
        <v>1.2820069370608083</v>
      </c>
      <c r="I14" s="7">
        <f>$B14 * IFERROR(VLOOKUP("LULUCF|NOx|Minor restricted activity days", US_national_yearly!$D:$AM, 17, FALSE) / VLOOKUP("LULUCF|NOx|Minor restricted activity days", US_national_yearly!$D:$AM, 10, FALSE), 1)</f>
        <v>1.2888691135479042</v>
      </c>
      <c r="J14" s="7">
        <f>$B14 * IFERROR(VLOOKUP("LULUCF|NOx|Minor restricted activity days", US_national_yearly!$D:$AM, 18, FALSE) / VLOOKUP("LULUCF|NOx|Minor restricted activity days", US_national_yearly!$D:$AM, 10, FALSE), 1)</f>
        <v>1.2957312900350002</v>
      </c>
      <c r="K14" s="7">
        <f>$B14 * IFERROR(VLOOKUP("LULUCF|NOx|Minor restricted activity days", US_national_yearly!$D:$AM, 19, FALSE) / VLOOKUP("LULUCF|NOx|Minor restricted activity days", US_national_yearly!$D:$AM, 10, FALSE), 1)</f>
        <v>1.3025934665220962</v>
      </c>
      <c r="L14" s="7">
        <f>$B14 * IFERROR(VLOOKUP("LULUCF|NOx|Minor restricted activity days", US_national_yearly!$D:$AM, 20, FALSE) / VLOOKUP("LULUCF|NOx|Minor restricted activity days", US_national_yearly!$D:$AM, 10, FALSE), 1)</f>
        <v>1.3094556430091919</v>
      </c>
      <c r="M14" s="7">
        <f>$B14 * IFERROR(VLOOKUP("LULUCF|NOx|Minor restricted activity days", US_national_yearly!$D:$AM, 21, FALSE) / VLOOKUP("LULUCF|NOx|Minor restricted activity days", US_national_yearly!$D:$AM, 10, FALSE), 1)</f>
        <v>1.3163178194962879</v>
      </c>
      <c r="N14" s="7">
        <f>$B14 * IFERROR(VLOOKUP("LULUCF|NOx|Minor restricted activity days", US_national_yearly!$D:$AM, 22, FALSE) / VLOOKUP("LULUCF|NOx|Minor restricted activity days", US_national_yearly!$D:$AM, 10, FALSE), 1)</f>
        <v>1.3261429002609924</v>
      </c>
      <c r="O14" s="7">
        <f>$B14 * IFERROR(VLOOKUP("LULUCF|NOx|Minor restricted activity days", US_national_yearly!$D:$AM, 23, FALSE) / VLOOKUP("LULUCF|NOx|Minor restricted activity days", US_national_yearly!$D:$AM, 10, FALSE), 1)</f>
        <v>1.3359679810256966</v>
      </c>
      <c r="P14" s="7">
        <f>$B14 * IFERROR(VLOOKUP("LULUCF|NOx|Minor restricted activity days", US_national_yearly!$D:$AM, 24, FALSE) / VLOOKUP("LULUCF|NOx|Minor restricted activity days", US_national_yearly!$D:$AM, 10, FALSE), 1)</f>
        <v>1.345793061790401</v>
      </c>
      <c r="Q14" s="7">
        <f>$B14 * IFERROR(VLOOKUP("LULUCF|NOx|Minor restricted activity days", US_national_yearly!$D:$AM, 25, FALSE) / VLOOKUP("LULUCF|NOx|Minor restricted activity days", US_national_yearly!$D:$AM, 10, FALSE), 1)</f>
        <v>1.3556181425551053</v>
      </c>
      <c r="R14" s="7">
        <f>$B14 * IFERROR(VLOOKUP("LULUCF|NOx|Minor restricted activity days", US_national_yearly!$D:$AM, 26, FALSE) / VLOOKUP("LULUCF|NOx|Minor restricted activity days", US_national_yearly!$D:$AM, 10, FALSE), 1)</f>
        <v>1.3654432233198095</v>
      </c>
      <c r="S14" s="7">
        <f>$B14 * IFERROR(VLOOKUP("LULUCF|NOx|Minor restricted activity days", US_national_yearly!$D:$AM, 27, FALSE) / VLOOKUP("LULUCF|NOx|Minor restricted activity days", US_national_yearly!$D:$AM, 10, FALSE), 1)</f>
        <v>1.3752662383823122</v>
      </c>
      <c r="T14" s="7">
        <f>$B14 * IFERROR(VLOOKUP("LULUCF|NOx|Minor restricted activity days", US_national_yearly!$D:$AM, 28, FALSE) / VLOOKUP("LULUCF|NOx|Minor restricted activity days", US_national_yearly!$D:$AM, 10, FALSE), 1)</f>
        <v>1.3850892534448145</v>
      </c>
      <c r="U14" s="7">
        <f>$B14 * IFERROR(VLOOKUP("LULUCF|NOx|Minor restricted activity days", US_national_yearly!$D:$AM, 29, FALSE) / VLOOKUP("LULUCF|NOx|Minor restricted activity days", US_national_yearly!$D:$AM, 10, FALSE), 1)</f>
        <v>1.3949122685073172</v>
      </c>
      <c r="V14" s="7">
        <f>$B14 * IFERROR(VLOOKUP("LULUCF|NOx|Minor restricted activity days", US_national_yearly!$D:$AM, 30, FALSE) / VLOOKUP("LULUCF|NOx|Minor restricted activity days", US_national_yearly!$D:$AM, 10, FALSE), 1)</f>
        <v>1.4047352835698197</v>
      </c>
      <c r="W14" s="7">
        <f>$B14 * IFERROR(VLOOKUP("LULUCF|NOx|Minor restricted activity days", US_national_yearly!$D:$AM, 31, FALSE) / VLOOKUP("LULUCF|NOx|Minor restricted activity days", US_national_yearly!$D:$AM, 10, FALSE), 1)</f>
        <v>1.414558298632322</v>
      </c>
      <c r="X14" s="7">
        <f>$B14 * IFERROR(VLOOKUP("LULUCF|NOx|Minor restricted activity days", US_national_yearly!$D:$AM, 32, FALSE) / VLOOKUP("LULUCF|NOx|Minor restricted activity days", US_national_yearly!$D:$AM, 10, FALSE), 1)</f>
        <v>1.4228632836517574</v>
      </c>
      <c r="Y14" s="7">
        <f>$B14 * IFERROR(VLOOKUP("LULUCF|NOx|Minor restricted activity days", US_national_yearly!$D:$AM, 33, FALSE) / VLOOKUP("LULUCF|NOx|Minor restricted activity days", US_national_yearly!$D:$AM, 10, FALSE), 1)</f>
        <v>1.4311682686711926</v>
      </c>
      <c r="Z14" s="7">
        <f>$B14 * IFERROR(VLOOKUP("LULUCF|NOx|Minor restricted activity days", US_national_yearly!$D:$AM, 34, FALSE) / VLOOKUP("LULUCF|NOx|Minor restricted activity days", US_national_yearly!$D:$AM, 10, FALSE), 1)</f>
        <v>1.4394732536906278</v>
      </c>
      <c r="AA14" s="7">
        <f>$B14 * IFERROR(VLOOKUP("LULUCF|NOx|Minor restricted activity days", US_national_yearly!$D:$AM, 35, FALSE) / VLOOKUP("LULUCF|NOx|Minor restricted activity days", US_national_yearly!$D:$AM, 10, FALSE), 1)</f>
        <v>1.4477782387100631</v>
      </c>
      <c r="AB14" s="7">
        <f>$B14 * IFERROR(VLOOKUP("LULUCF|NOx|Minor restricted activity days", US_national_yearly!$D:$AM, 36, FALSE) / VLOOKUP("LULUCF|NOx|Minor restricted activity days", US_national_yearly!$D:$AM, 10, FALSE), 1)</f>
        <v>1.4560832237294983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0.21420056483431907</v>
      </c>
      <c r="C15" s="7">
        <f>$B15 * IFERROR(VLOOKUP("LULUCF|NOx|Work loss days", US_national_yearly!$D:$AM, 11, FALSE) / VLOOKUP("LULUCF|NOx|Work loss days", US_national_yearly!$D:$AM, 10, FALSE), 1)</f>
        <v>0.21467704246753053</v>
      </c>
      <c r="D15" s="7">
        <f>$B15 * IFERROR(VLOOKUP("LULUCF|NOx|Work loss days", US_national_yearly!$D:$AM, 12, FALSE) / VLOOKUP("LULUCF|NOx|Work loss days", US_national_yearly!$D:$AM, 10, FALSE), 1)</f>
        <v>0.21515352010074204</v>
      </c>
      <c r="E15" s="7">
        <f>$B15 * IFERROR(VLOOKUP("LULUCF|NOx|Work loss days", US_national_yearly!$D:$AM, 13, FALSE) / VLOOKUP("LULUCF|NOx|Work loss days", US_national_yearly!$D:$AM, 10, FALSE), 1)</f>
        <v>0.2156299977339535</v>
      </c>
      <c r="F15" s="7">
        <f>$B15 * IFERROR(VLOOKUP("LULUCF|NOx|Work loss days", US_national_yearly!$D:$AM, 14, FALSE) / VLOOKUP("LULUCF|NOx|Work loss days", US_national_yearly!$D:$AM, 10, FALSE), 1)</f>
        <v>0.21610647536716499</v>
      </c>
      <c r="G15" s="7">
        <f>$B15 * IFERROR(VLOOKUP("LULUCF|NOx|Work loss days", US_national_yearly!$D:$AM, 15, FALSE) / VLOOKUP("LULUCF|NOx|Work loss days", US_national_yearly!$D:$AM, 10, FALSE), 1)</f>
        <v>0.21680213677621951</v>
      </c>
      <c r="H15" s="7">
        <f>$B15 * IFERROR(VLOOKUP("LULUCF|NOx|Work loss days", US_national_yearly!$D:$AM, 16, FALSE) / VLOOKUP("LULUCF|NOx|Work loss days", US_national_yearly!$D:$AM, 10, FALSE), 1)</f>
        <v>0.21749779818527409</v>
      </c>
      <c r="I15" s="7">
        <f>$B15 * IFERROR(VLOOKUP("LULUCF|NOx|Work loss days", US_national_yearly!$D:$AM, 17, FALSE) / VLOOKUP("LULUCF|NOx|Work loss days", US_national_yearly!$D:$AM, 10, FALSE), 1)</f>
        <v>0.21862473196572593</v>
      </c>
      <c r="J15" s="7">
        <f>$B15 * IFERROR(VLOOKUP("LULUCF|NOx|Work loss days", US_national_yearly!$D:$AM, 18, FALSE) / VLOOKUP("LULUCF|NOx|Work loss days", US_national_yearly!$D:$AM, 10, FALSE), 1)</f>
        <v>0.21975166574617785</v>
      </c>
      <c r="K15" s="7">
        <f>$B15 * IFERROR(VLOOKUP("LULUCF|NOx|Work loss days", US_national_yearly!$D:$AM, 19, FALSE) / VLOOKUP("LULUCF|NOx|Work loss days", US_national_yearly!$D:$AM, 10, FALSE), 1)</f>
        <v>0.22087859952662969</v>
      </c>
      <c r="L15" s="7">
        <f>$B15 * IFERROR(VLOOKUP("LULUCF|NOx|Work loss days", US_national_yearly!$D:$AM, 20, FALSE) / VLOOKUP("LULUCF|NOx|Work loss days", US_national_yearly!$D:$AM, 10, FALSE), 1)</f>
        <v>0.22200553330708156</v>
      </c>
      <c r="M15" s="7">
        <f>$B15 * IFERROR(VLOOKUP("LULUCF|NOx|Work loss days", US_national_yearly!$D:$AM, 21, FALSE) / VLOOKUP("LULUCF|NOx|Work loss days", US_national_yearly!$D:$AM, 10, FALSE), 1)</f>
        <v>0.22313246708753345</v>
      </c>
      <c r="N15" s="7">
        <f>$B15 * IFERROR(VLOOKUP("LULUCF|NOx|Work loss days", US_national_yearly!$D:$AM, 22, FALSE) / VLOOKUP("LULUCF|NOx|Work loss days", US_national_yearly!$D:$AM, 10, FALSE), 1)</f>
        <v>0.22459910225105456</v>
      </c>
      <c r="O15" s="7">
        <f>$B15 * IFERROR(VLOOKUP("LULUCF|NOx|Work loss days", US_national_yearly!$D:$AM, 23, FALSE) / VLOOKUP("LULUCF|NOx|Work loss days", US_national_yearly!$D:$AM, 10, FALSE), 1)</f>
        <v>0.22606573741457567</v>
      </c>
      <c r="P15" s="7">
        <f>$B15 * IFERROR(VLOOKUP("LULUCF|NOx|Work loss days", US_national_yearly!$D:$AM, 24, FALSE) / VLOOKUP("LULUCF|NOx|Work loss days", US_national_yearly!$D:$AM, 10, FALSE), 1)</f>
        <v>0.22753237257809678</v>
      </c>
      <c r="Q15" s="7">
        <f>$B15 * IFERROR(VLOOKUP("LULUCF|NOx|Work loss days", US_national_yearly!$D:$AM, 25, FALSE) / VLOOKUP("LULUCF|NOx|Work loss days", US_national_yearly!$D:$AM, 10, FALSE), 1)</f>
        <v>0.22899900774161783</v>
      </c>
      <c r="R15" s="7">
        <f>$B15 * IFERROR(VLOOKUP("LULUCF|NOx|Work loss days", US_national_yearly!$D:$AM, 26, FALSE) / VLOOKUP("LULUCF|NOx|Work loss days", US_national_yearly!$D:$AM, 10, FALSE), 1)</f>
        <v>0.23046564290513899</v>
      </c>
      <c r="S15" s="7">
        <f>$B15 * IFERROR(VLOOKUP("LULUCF|NOx|Work loss days", US_national_yearly!$D:$AM, 27, FALSE) / VLOOKUP("LULUCF|NOx|Work loss days", US_national_yearly!$D:$AM, 10, FALSE), 1)</f>
        <v>0.23210075358555288</v>
      </c>
      <c r="T15" s="7">
        <f>$B15 * IFERROR(VLOOKUP("LULUCF|NOx|Work loss days", US_national_yearly!$D:$AM, 28, FALSE) / VLOOKUP("LULUCF|NOx|Work loss days", US_national_yearly!$D:$AM, 10, FALSE), 1)</f>
        <v>0.23373586426596676</v>
      </c>
      <c r="U15" s="7">
        <f>$B15 * IFERROR(VLOOKUP("LULUCF|NOx|Work loss days", US_national_yearly!$D:$AM, 29, FALSE) / VLOOKUP("LULUCF|NOx|Work loss days", US_national_yearly!$D:$AM, 10, FALSE), 1)</f>
        <v>0.2353709749463806</v>
      </c>
      <c r="V15" s="7">
        <f>$B15 * IFERROR(VLOOKUP("LULUCF|NOx|Work loss days", US_national_yearly!$D:$AM, 30, FALSE) / VLOOKUP("LULUCF|NOx|Work loss days", US_national_yearly!$D:$AM, 10, FALSE), 1)</f>
        <v>0.23700608562679448</v>
      </c>
      <c r="W15" s="7">
        <f>$B15 * IFERROR(VLOOKUP("LULUCF|NOx|Work loss days", US_national_yearly!$D:$AM, 31, FALSE) / VLOOKUP("LULUCF|NOx|Work loss days", US_national_yearly!$D:$AM, 10, FALSE), 1)</f>
        <v>0.23864119630720837</v>
      </c>
      <c r="X15" s="7">
        <f>$B15 * IFERROR(VLOOKUP("LULUCF|NOx|Work loss days", US_national_yearly!$D:$AM, 32, FALSE) / VLOOKUP("LULUCF|NOx|Work loss days", US_national_yearly!$D:$AM, 10, FALSE), 1)</f>
        <v>0.24006038519903564</v>
      </c>
      <c r="Y15" s="7">
        <f>$B15 * IFERROR(VLOOKUP("LULUCF|NOx|Work loss days", US_national_yearly!$D:$AM, 33, FALSE) / VLOOKUP("LULUCF|NOx|Work loss days", US_national_yearly!$D:$AM, 10, FALSE), 1)</f>
        <v>0.24147957409086293</v>
      </c>
      <c r="Z15" s="7">
        <f>$B15 * IFERROR(VLOOKUP("LULUCF|NOx|Work loss days", US_national_yearly!$D:$AM, 34, FALSE) / VLOOKUP("LULUCF|NOx|Work loss days", US_national_yearly!$D:$AM, 10, FALSE), 1)</f>
        <v>0.2428987629826902</v>
      </c>
      <c r="AA15" s="7">
        <f>$B15 * IFERROR(VLOOKUP("LULUCF|NOx|Work loss days", US_national_yearly!$D:$AM, 35, FALSE) / VLOOKUP("LULUCF|NOx|Work loss days", US_national_yearly!$D:$AM, 10, FALSE), 1)</f>
        <v>0.24431795187451749</v>
      </c>
      <c r="AB15" s="7">
        <f>$B15 * IFERROR(VLOOKUP("LULUCF|NOx|Work loss days", US_national_yearly!$D:$AM, 36, FALSE) / VLOOKUP("LULUCF|NOx|Work loss days", US_national_yearly!$D:$AM, 10, FALSE), 1)</f>
        <v>0.24573714076634479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5.9302025950977867E-4</v>
      </c>
      <c r="C17" s="7">
        <f>$B17 * IFERROR(VLOOKUP("LULUCF|NOx|Cardiovascular hospital admissions", US_national_yearly!$D:$AM, 11, FALSE) / VLOOKUP("LULUCF|NOx|Cardiovascular hospital admissions", US_national_yearly!$D:$AM, 10, FALSE), 1)</f>
        <v>6.1044594143590237E-4</v>
      </c>
      <c r="D17" s="7">
        <f>$B17 * IFERROR(VLOOKUP("LULUCF|NOx|Cardiovascular hospital admissions", US_national_yearly!$D:$AM, 12, FALSE) / VLOOKUP("LULUCF|NOx|Cardiovascular hospital admissions", US_national_yearly!$D:$AM, 10, FALSE), 1)</f>
        <v>6.2787162336202585E-4</v>
      </c>
      <c r="E17" s="7">
        <f>$B17 * IFERROR(VLOOKUP("LULUCF|NOx|Cardiovascular hospital admissions", US_national_yearly!$D:$AM, 13, FALSE) / VLOOKUP("LULUCF|NOx|Cardiovascular hospital admissions", US_national_yearly!$D:$AM, 10, FALSE), 1)</f>
        <v>6.4529730528814944E-4</v>
      </c>
      <c r="F17" s="7">
        <f>$B17 * IFERROR(VLOOKUP("LULUCF|NOx|Cardiovascular hospital admissions", US_national_yearly!$D:$AM, 14, FALSE) / VLOOKUP("LULUCF|NOx|Cardiovascular hospital admissions", US_national_yearly!$D:$AM, 10, FALSE), 1)</f>
        <v>6.6272298721427314E-4</v>
      </c>
      <c r="G17" s="7">
        <f>$B17 * IFERROR(VLOOKUP("LULUCF|NOx|Cardiovascular hospital admissions", US_national_yearly!$D:$AM, 15, FALSE) / VLOOKUP("LULUCF|NOx|Cardiovascular hospital admissions", US_national_yearly!$D:$AM, 10, FALSE), 1)</f>
        <v>6.7927450327893827E-4</v>
      </c>
      <c r="H17" s="7">
        <f>$B17 * IFERROR(VLOOKUP("LULUCF|NOx|Cardiovascular hospital admissions", US_national_yearly!$D:$AM, 16, FALSE) / VLOOKUP("LULUCF|NOx|Cardiovascular hospital admissions", US_national_yearly!$D:$AM, 10, FALSE), 1)</f>
        <v>6.9582601934360363E-4</v>
      </c>
      <c r="I17" s="7">
        <f>$B17 * IFERROR(VLOOKUP("LULUCF|NOx|Cardiovascular hospital admissions", US_national_yearly!$D:$AM, 17, FALSE) / VLOOKUP("LULUCF|NOx|Cardiovascular hospital admissions", US_national_yearly!$D:$AM, 10, FALSE), 1)</f>
        <v>7.0974456747659371E-4</v>
      </c>
      <c r="J17" s="7">
        <f>$B17 * IFERROR(VLOOKUP("LULUCF|NOx|Cardiovascular hospital admissions", US_national_yearly!$D:$AM, 18, FALSE) / VLOOKUP("LULUCF|NOx|Cardiovascular hospital admissions", US_national_yearly!$D:$AM, 10, FALSE), 1)</f>
        <v>7.236631156095838E-4</v>
      </c>
      <c r="K17" s="7">
        <f>$B17 * IFERROR(VLOOKUP("LULUCF|NOx|Cardiovascular hospital admissions", US_national_yearly!$D:$AM, 19, FALSE) / VLOOKUP("LULUCF|NOx|Cardiovascular hospital admissions", US_national_yearly!$D:$AM, 10, FALSE), 1)</f>
        <v>7.3758166374257377E-4</v>
      </c>
      <c r="L17" s="7">
        <f>$B17 * IFERROR(VLOOKUP("LULUCF|NOx|Cardiovascular hospital admissions", US_national_yearly!$D:$AM, 20, FALSE) / VLOOKUP("LULUCF|NOx|Cardiovascular hospital admissions", US_national_yearly!$D:$AM, 10, FALSE), 1)</f>
        <v>7.5150021187556386E-4</v>
      </c>
      <c r="M17" s="7">
        <f>$B17 * IFERROR(VLOOKUP("LULUCF|NOx|Cardiovascular hospital admissions", US_national_yearly!$D:$AM, 21, FALSE) / VLOOKUP("LULUCF|NOx|Cardiovascular hospital admissions", US_national_yearly!$D:$AM, 10, FALSE), 1)</f>
        <v>7.6541876000855405E-4</v>
      </c>
      <c r="N17" s="7">
        <f>$B17 * IFERROR(VLOOKUP("LULUCF|NOx|Cardiovascular hospital admissions", US_national_yearly!$D:$AM, 22, FALSE) / VLOOKUP("LULUCF|NOx|Cardiovascular hospital admissions", US_national_yearly!$D:$AM, 10, FALSE), 1)</f>
        <v>7.7412248934422413E-4</v>
      </c>
      <c r="O17" s="7">
        <f>$B17 * IFERROR(VLOOKUP("LULUCF|NOx|Cardiovascular hospital admissions", US_national_yearly!$D:$AM, 23, FALSE) / VLOOKUP("LULUCF|NOx|Cardiovascular hospital admissions", US_national_yearly!$D:$AM, 10, FALSE), 1)</f>
        <v>7.8282621867989421E-4</v>
      </c>
      <c r="P17" s="7">
        <f>$B17 * IFERROR(VLOOKUP("LULUCF|NOx|Cardiovascular hospital admissions", US_national_yearly!$D:$AM, 24, FALSE) / VLOOKUP("LULUCF|NOx|Cardiovascular hospital admissions", US_national_yearly!$D:$AM, 10, FALSE), 1)</f>
        <v>7.9152994801556429E-4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8.0023367735123437E-4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8.0893740668690445E-4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8.129086793741793E-4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8.1687995206145404E-4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8.2085122474872879E-4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8.2482249743600364E-4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8.2879377012327849E-4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8.3100392105624145E-4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8.3321407198920429E-4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8.3542422292216725E-4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8.376343738551302E-4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8.3984452478809315E-4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4.4523077260162133E-3</v>
      </c>
      <c r="C2" s="7">
        <f>$B2 * IFERROR(VLOOKUP("LULUCF|SO2|Premature mortality", US_national_yearly!$D:$AM, 11, FALSE) / VLOOKUP("LULUCF|SO2|Premature mortality", US_national_yearly!$D:$AM, 10, FALSE), 1)</f>
        <v>4.5086937943808626E-3</v>
      </c>
      <c r="D2" s="7">
        <f>$B2 * IFERROR(VLOOKUP("LULUCF|SO2|Premature mortality", US_national_yearly!$D:$AM, 12, FALSE) / VLOOKUP("LULUCF|SO2|Premature mortality", US_national_yearly!$D:$AM, 10, FALSE), 1)</f>
        <v>4.5650798627455127E-3</v>
      </c>
      <c r="E2" s="7">
        <f>$B2 * IFERROR(VLOOKUP("LULUCF|SO2|Premature mortality", US_national_yearly!$D:$AM, 13, FALSE) / VLOOKUP("LULUCF|SO2|Premature mortality", US_national_yearly!$D:$AM, 10, FALSE), 1)</f>
        <v>4.6214659311101629E-3</v>
      </c>
      <c r="F2" s="7">
        <f>$B2 * IFERROR(VLOOKUP("LULUCF|SO2|Premature mortality", US_national_yearly!$D:$AM, 14, FALSE) / VLOOKUP("LULUCF|SO2|Premature mortality", US_national_yearly!$D:$AM, 10, FALSE), 1)</f>
        <v>4.6778519994748122E-3</v>
      </c>
      <c r="G2" s="7">
        <f>$B2 * IFERROR(VLOOKUP("LULUCF|SO2|Premature mortality", US_national_yearly!$D:$AM, 15, FALSE) / VLOOKUP("LULUCF|SO2|Premature mortality", US_national_yearly!$D:$AM, 10, FALSE), 1)</f>
        <v>4.7865047575978122E-3</v>
      </c>
      <c r="H2" s="7">
        <f>$B2 * IFERROR(VLOOKUP("LULUCF|SO2|Premature mortality", US_national_yearly!$D:$AM, 16, FALSE) / VLOOKUP("LULUCF|SO2|Premature mortality", US_national_yearly!$D:$AM, 10, FALSE), 1)</f>
        <v>4.8951575157208122E-3</v>
      </c>
      <c r="I2" s="7">
        <f>$B2 * IFERROR(VLOOKUP("LULUCF|SO2|Premature mortality", US_national_yearly!$D:$AM, 17, FALSE) / VLOOKUP("LULUCF|SO2|Premature mortality", US_national_yearly!$D:$AM, 10, FALSE), 1)</f>
        <v>4.9669619158797026E-3</v>
      </c>
      <c r="J2" s="7">
        <f>$B2 * IFERROR(VLOOKUP("LULUCF|SO2|Premature mortality", US_national_yearly!$D:$AM, 18, FALSE) / VLOOKUP("LULUCF|SO2|Premature mortality", US_national_yearly!$D:$AM, 10, FALSE), 1)</f>
        <v>5.0387663160385929E-3</v>
      </c>
      <c r="K2" s="7">
        <f>$B2 * IFERROR(VLOOKUP("LULUCF|SO2|Premature mortality", US_national_yearly!$D:$AM, 19, FALSE) / VLOOKUP("LULUCF|SO2|Premature mortality", US_national_yearly!$D:$AM, 10, FALSE), 1)</f>
        <v>5.1105707161974833E-3</v>
      </c>
      <c r="L2" s="7">
        <f>$B2 * IFERROR(VLOOKUP("LULUCF|SO2|Premature mortality", US_national_yearly!$D:$AM, 20, FALSE) / VLOOKUP("LULUCF|SO2|Premature mortality", US_national_yearly!$D:$AM, 10, FALSE), 1)</f>
        <v>5.1823751163563737E-3</v>
      </c>
      <c r="M2" s="7">
        <f>$B2 * IFERROR(VLOOKUP("LULUCF|SO2|Premature mortality", US_national_yearly!$D:$AM, 21, FALSE) / VLOOKUP("LULUCF|SO2|Premature mortality", US_national_yearly!$D:$AM, 10, FALSE), 1)</f>
        <v>5.254179516515264E-3</v>
      </c>
      <c r="N2" s="7">
        <f>$B2 * IFERROR(VLOOKUP("LULUCF|SO2|Premature mortality", US_national_yearly!$D:$AM, 22, FALSE) / VLOOKUP("LULUCF|SO2|Premature mortality", US_national_yearly!$D:$AM, 10, FALSE), 1)</f>
        <v>5.3102835799329661E-3</v>
      </c>
      <c r="O2" s="7">
        <f>$B2 * IFERROR(VLOOKUP("LULUCF|SO2|Premature mortality", US_national_yearly!$D:$AM, 23, FALSE) / VLOOKUP("LULUCF|SO2|Premature mortality", US_national_yearly!$D:$AM, 10, FALSE), 1)</f>
        <v>5.3663876433506673E-3</v>
      </c>
      <c r="P2" s="7">
        <f>$B2 * IFERROR(VLOOKUP("LULUCF|SO2|Premature mortality", US_national_yearly!$D:$AM, 24, FALSE) / VLOOKUP("LULUCF|SO2|Premature mortality", US_national_yearly!$D:$AM, 10, FALSE), 1)</f>
        <v>5.4224917067683693E-3</v>
      </c>
      <c r="Q2" s="7">
        <f>$B2 * IFERROR(VLOOKUP("LULUCF|SO2|Premature mortality", US_national_yearly!$D:$AM, 25, FALSE) / VLOOKUP("LULUCF|SO2|Premature mortality", US_national_yearly!$D:$AM, 10, FALSE), 1)</f>
        <v>5.4785957701860713E-3</v>
      </c>
      <c r="R2" s="7">
        <f>$B2 * IFERROR(VLOOKUP("LULUCF|SO2|Premature mortality", US_national_yearly!$D:$AM, 26, FALSE) / VLOOKUP("LULUCF|SO2|Premature mortality", US_national_yearly!$D:$AM, 10, FALSE), 1)</f>
        <v>5.5346998336037716E-3</v>
      </c>
      <c r="S2" s="7">
        <f>$B2 * IFERROR(VLOOKUP("LULUCF|SO2|Premature mortality", US_national_yearly!$D:$AM, 27, FALSE) / VLOOKUP("LULUCF|SO2|Premature mortality", US_national_yearly!$D:$AM, 10, FALSE), 1)</f>
        <v>5.5647443066007343E-3</v>
      </c>
      <c r="T2" s="7">
        <f>$B2 * IFERROR(VLOOKUP("LULUCF|SO2|Premature mortality", US_national_yearly!$D:$AM, 28, FALSE) / VLOOKUP("LULUCF|SO2|Premature mortality", US_national_yearly!$D:$AM, 10, FALSE), 1)</f>
        <v>5.5947887795976953E-3</v>
      </c>
      <c r="U2" s="7">
        <f>$B2 * IFERROR(VLOOKUP("LULUCF|SO2|Premature mortality", US_national_yearly!$D:$AM, 29, FALSE) / VLOOKUP("LULUCF|SO2|Premature mortality", US_national_yearly!$D:$AM, 10, FALSE), 1)</f>
        <v>5.6248332525946571E-3</v>
      </c>
      <c r="V2" s="7">
        <f>$B2 * IFERROR(VLOOKUP("LULUCF|SO2|Premature mortality", US_national_yearly!$D:$AM, 30, FALSE) / VLOOKUP("LULUCF|SO2|Premature mortality", US_national_yearly!$D:$AM, 10, FALSE), 1)</f>
        <v>5.6548777255916189E-3</v>
      </c>
      <c r="W2" s="7">
        <f>$B2 * IFERROR(VLOOKUP("LULUCF|SO2|Premature mortality", US_national_yearly!$D:$AM, 31, FALSE) / VLOOKUP("LULUCF|SO2|Premature mortality", US_national_yearly!$D:$AM, 10, FALSE), 1)</f>
        <v>5.6849221985885807E-3</v>
      </c>
      <c r="X2" s="7">
        <f>$B2 * IFERROR(VLOOKUP("LULUCF|SO2|Premature mortality", US_national_yearly!$D:$AM, 32, FALSE) / VLOOKUP("LULUCF|SO2|Premature mortality", US_national_yearly!$D:$AM, 10, FALSE), 1)</f>
        <v>5.6910258251770453E-3</v>
      </c>
      <c r="Y2" s="7">
        <f>$B2 * IFERROR(VLOOKUP("LULUCF|SO2|Premature mortality", US_national_yearly!$D:$AM, 33, FALSE) / VLOOKUP("LULUCF|SO2|Premature mortality", US_national_yearly!$D:$AM, 10, FALSE), 1)</f>
        <v>5.6971294517655108E-3</v>
      </c>
      <c r="Z2" s="7">
        <f>$B2 * IFERROR(VLOOKUP("LULUCF|SO2|Premature mortality", US_national_yearly!$D:$AM, 34, FALSE) / VLOOKUP("LULUCF|SO2|Premature mortality", US_national_yearly!$D:$AM, 10, FALSE), 1)</f>
        <v>5.7032330783539763E-3</v>
      </c>
      <c r="AA2" s="7">
        <f>$B2 * IFERROR(VLOOKUP("LULUCF|SO2|Premature mortality", US_national_yearly!$D:$AM, 35, FALSE) / VLOOKUP("LULUCF|SO2|Premature mortality", US_national_yearly!$D:$AM, 10, FALSE), 1)</f>
        <v>5.709336704942441E-3</v>
      </c>
      <c r="AB2" s="7">
        <f>$B2 * IFERROR(VLOOKUP("LULUCF|SO2|Premature mortality", US_national_yearly!$D:$AM, 36, FALSE) / VLOOKUP("LULUCF|SO2|Premature mortality", US_national_yearly!$D:$AM, 10, FALSE), 1)</f>
        <v>5.7154403315309056E-3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9.5468654788550158E-6</v>
      </c>
      <c r="C3" s="7">
        <f>$B3 * IFERROR(VLOOKUP("LULUCF|SO2|Infant mortality", US_national_yearly!$D:$AM, 11, FALSE) / VLOOKUP("LULUCF|SO2|Infant mortality", US_national_yearly!$D:$AM, 10, FALSE), 1)</f>
        <v>9.4648561629902025E-6</v>
      </c>
      <c r="D3" s="7">
        <f>$B3 * IFERROR(VLOOKUP("LULUCF|SO2|Infant mortality", US_national_yearly!$D:$AM, 12, FALSE) / VLOOKUP("LULUCF|SO2|Infant mortality", US_national_yearly!$D:$AM, 10, FALSE), 1)</f>
        <v>9.3828468471253909E-6</v>
      </c>
      <c r="E3" s="7">
        <f>$B3 * IFERROR(VLOOKUP("LULUCF|SO2|Infant mortality", US_national_yearly!$D:$AM, 13, FALSE) / VLOOKUP("LULUCF|SO2|Infant mortality", US_national_yearly!$D:$AM, 10, FALSE), 1)</f>
        <v>9.300837531260576E-6</v>
      </c>
      <c r="F3" s="7">
        <f>$B3 * IFERROR(VLOOKUP("LULUCF|SO2|Infant mortality", US_national_yearly!$D:$AM, 14, FALSE) / VLOOKUP("LULUCF|SO2|Infant mortality", US_national_yearly!$D:$AM, 10, FALSE), 1)</f>
        <v>9.2188282153957644E-6</v>
      </c>
      <c r="G3" s="7">
        <f>$B3 * IFERROR(VLOOKUP("LULUCF|SO2|Infant mortality", US_national_yearly!$D:$AM, 15, FALSE) / VLOOKUP("LULUCF|SO2|Infant mortality", US_national_yearly!$D:$AM, 10, FALSE), 1)</f>
        <v>6.1404820904501649E-6</v>
      </c>
      <c r="H3" s="7">
        <f>$B3 * IFERROR(VLOOKUP("LULUCF|SO2|Infant mortality", US_national_yearly!$D:$AM, 16, FALSE) / VLOOKUP("LULUCF|SO2|Infant mortality", US_national_yearly!$D:$AM, 10, FALSE), 1)</f>
        <v>3.062135965504571E-6</v>
      </c>
      <c r="I3" s="7">
        <f>$B3 * IFERROR(VLOOKUP("LULUCF|SO2|Infant mortality", US_national_yearly!$D:$AM, 17, FALSE) / VLOOKUP("LULUCF|SO2|Infant mortality", US_national_yearly!$D:$AM, 10, FALSE), 1)</f>
        <v>3.0429262619072904E-6</v>
      </c>
      <c r="J3" s="7">
        <f>$B3 * IFERROR(VLOOKUP("LULUCF|SO2|Infant mortality", US_national_yearly!$D:$AM, 18, FALSE) / VLOOKUP("LULUCF|SO2|Infant mortality", US_national_yearly!$D:$AM, 10, FALSE), 1)</f>
        <v>3.0237165583100095E-6</v>
      </c>
      <c r="K3" s="7">
        <f>$B3 * IFERROR(VLOOKUP("LULUCF|SO2|Infant mortality", US_national_yearly!$D:$AM, 19, FALSE) / VLOOKUP("LULUCF|SO2|Infant mortality", US_national_yearly!$D:$AM, 10, FALSE), 1)</f>
        <v>3.004506854712729E-6</v>
      </c>
      <c r="L3" s="7">
        <f>$B3 * IFERROR(VLOOKUP("LULUCF|SO2|Infant mortality", US_national_yearly!$D:$AM, 20, FALSE) / VLOOKUP("LULUCF|SO2|Infant mortality", US_national_yearly!$D:$AM, 10, FALSE), 1)</f>
        <v>2.9852971511154489E-6</v>
      </c>
      <c r="M3" s="7">
        <f>$B3 * IFERROR(VLOOKUP("LULUCF|SO2|Infant mortality", US_national_yearly!$D:$AM, 21, FALSE) / VLOOKUP("LULUCF|SO2|Infant mortality", US_national_yearly!$D:$AM, 10, FALSE), 1)</f>
        <v>2.9660874475181683E-6</v>
      </c>
      <c r="N3" s="7">
        <f>$B3 * IFERROR(VLOOKUP("LULUCF|SO2|Infant mortality", US_national_yearly!$D:$AM, 22, FALSE) / VLOOKUP("LULUCF|SO2|Infant mortality", US_national_yearly!$D:$AM, 10, FALSE), 1)</f>
        <v>2.9540296603867176E-6</v>
      </c>
      <c r="O3" s="7">
        <f>$B3 * IFERROR(VLOOKUP("LULUCF|SO2|Infant mortality", US_national_yearly!$D:$AM, 23, FALSE) / VLOOKUP("LULUCF|SO2|Infant mortality", US_national_yearly!$D:$AM, 10, FALSE), 1)</f>
        <v>2.9419718732552668E-6</v>
      </c>
      <c r="P3" s="7">
        <f>$B3 * IFERROR(VLOOKUP("LULUCF|SO2|Infant mortality", US_national_yearly!$D:$AM, 24, FALSE) / VLOOKUP("LULUCF|SO2|Infant mortality", US_national_yearly!$D:$AM, 10, FALSE), 1)</f>
        <v>2.9299140861238156E-6</v>
      </c>
      <c r="Q3" s="7">
        <f>$B3 * IFERROR(VLOOKUP("LULUCF|SO2|Infant mortality", US_national_yearly!$D:$AM, 25, FALSE) / VLOOKUP("LULUCF|SO2|Infant mortality", US_national_yearly!$D:$AM, 10, FALSE), 1)</f>
        <v>2.9178562989923649E-6</v>
      </c>
      <c r="R3" s="7">
        <f>$B3 * IFERROR(VLOOKUP("LULUCF|SO2|Infant mortality", US_national_yearly!$D:$AM, 26, FALSE) / VLOOKUP("LULUCF|SO2|Infant mortality", US_national_yearly!$D:$AM, 10, FALSE), 1)</f>
        <v>2.9057985118609137E-6</v>
      </c>
      <c r="S3" s="7">
        <f>$B3 * IFERROR(VLOOKUP("LULUCF|SO2|Infant mortality", US_national_yearly!$D:$AM, 27, FALSE) / VLOOKUP("LULUCF|SO2|Infant mortality", US_national_yearly!$D:$AM, 10, FALSE), 1)</f>
        <v>2.8906592255412612E-6</v>
      </c>
      <c r="T3" s="7">
        <f>$B3 * IFERROR(VLOOKUP("LULUCF|SO2|Infant mortality", US_national_yearly!$D:$AM, 28, FALSE) / VLOOKUP("LULUCF|SO2|Infant mortality", US_national_yearly!$D:$AM, 10, FALSE), 1)</f>
        <v>2.8755199392216082E-6</v>
      </c>
      <c r="U3" s="7">
        <f>$B3 * IFERROR(VLOOKUP("LULUCF|SO2|Infant mortality", US_national_yearly!$D:$AM, 29, FALSE) / VLOOKUP("LULUCF|SO2|Infant mortality", US_national_yearly!$D:$AM, 10, FALSE), 1)</f>
        <v>2.8603806529019544E-6</v>
      </c>
      <c r="V3" s="7">
        <f>$B3 * IFERROR(VLOOKUP("LULUCF|SO2|Infant mortality", US_national_yearly!$D:$AM, 30, FALSE) / VLOOKUP("LULUCF|SO2|Infant mortality", US_national_yearly!$D:$AM, 10, FALSE), 1)</f>
        <v>2.8452413665823023E-6</v>
      </c>
      <c r="W3" s="7">
        <f>$B3 * IFERROR(VLOOKUP("LULUCF|SO2|Infant mortality", US_national_yearly!$D:$AM, 31, FALSE) / VLOOKUP("LULUCF|SO2|Infant mortality", US_national_yearly!$D:$AM, 10, FALSE), 1)</f>
        <v>2.8301020802626494E-6</v>
      </c>
      <c r="X3" s="7">
        <f>$B3 * IFERROR(VLOOKUP("LULUCF|SO2|Infant mortality", US_national_yearly!$D:$AM, 32, FALSE) / VLOOKUP("LULUCF|SO2|Infant mortality", US_national_yearly!$D:$AM, 10, FALSE), 1)</f>
        <v>2.813550167240395E-6</v>
      </c>
      <c r="Y3" s="7">
        <f>$B3 * IFERROR(VLOOKUP("LULUCF|SO2|Infant mortality", US_national_yearly!$D:$AM, 33, FALSE) / VLOOKUP("LULUCF|SO2|Infant mortality", US_national_yearly!$D:$AM, 10, FALSE), 1)</f>
        <v>2.7969982542181397E-6</v>
      </c>
      <c r="Z3" s="7">
        <f>$B3 * IFERROR(VLOOKUP("LULUCF|SO2|Infant mortality", US_national_yearly!$D:$AM, 34, FALSE) / VLOOKUP("LULUCF|SO2|Infant mortality", US_national_yearly!$D:$AM, 10, FALSE), 1)</f>
        <v>2.7804463411958856E-6</v>
      </c>
      <c r="AA3" s="7">
        <f>$B3 * IFERROR(VLOOKUP("LULUCF|SO2|Infant mortality", US_national_yearly!$D:$AM, 35, FALSE) / VLOOKUP("LULUCF|SO2|Infant mortality", US_national_yearly!$D:$AM, 10, FALSE), 1)</f>
        <v>2.7638944281736303E-6</v>
      </c>
      <c r="AB3" s="7">
        <f>$B3 * IFERROR(VLOOKUP("LULUCF|SO2|Infant mortality", US_national_yearly!$D:$AM, 36, FALSE) / VLOOKUP("LULUCF|SO2|Infant mortality", US_national_yearly!$D:$AM, 10, FALSE), 1)</f>
        <v>2.7473425151513759E-6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9.1993432969689655E-3</v>
      </c>
      <c r="C6" s="7">
        <f>$B6 * IFERROR(VLOOKUP("LULUCF|SO2|Asthma symptoms cough", US_national_yearly!$D:$AM, 11, FALSE) / VLOOKUP("LULUCF|SO2|Asthma symptoms cough", US_national_yearly!$D:$AM, 10, FALSE), 1)</f>
        <v>9.1993432969689655E-3</v>
      </c>
      <c r="D6" s="7">
        <f>$B6 * IFERROR(VLOOKUP("LULUCF|SO2|Asthma symptoms cough", US_national_yearly!$D:$AM, 12, FALSE) / VLOOKUP("LULUCF|SO2|Asthma symptoms cough", US_national_yearly!$D:$AM, 10, FALSE), 1)</f>
        <v>9.1993432969689655E-3</v>
      </c>
      <c r="E6" s="7">
        <f>$B6 * IFERROR(VLOOKUP("LULUCF|SO2|Asthma symptoms cough", US_national_yearly!$D:$AM, 13, FALSE) / VLOOKUP("LULUCF|SO2|Asthma symptoms cough", US_national_yearly!$D:$AM, 10, FALSE), 1)</f>
        <v>9.1993432969689655E-3</v>
      </c>
      <c r="F6" s="7">
        <f>$B6 * IFERROR(VLOOKUP("LULUCF|SO2|Asthma symptoms cough", US_national_yearly!$D:$AM, 14, FALSE) / VLOOKUP("LULUCF|SO2|Asthma symptoms cough", US_national_yearly!$D:$AM, 10, FALSE), 1)</f>
        <v>9.1993432969689655E-3</v>
      </c>
      <c r="G6" s="7">
        <f>$B6 * IFERROR(VLOOKUP("LULUCF|SO2|Asthma symptoms cough", US_national_yearly!$D:$AM, 15, FALSE) / VLOOKUP("LULUCF|SO2|Asthma symptoms cough", US_national_yearly!$D:$AM, 10, FALSE), 1)</f>
        <v>9.1993432969689655E-3</v>
      </c>
      <c r="H6" s="7">
        <f>$B6 * IFERROR(VLOOKUP("LULUCF|SO2|Asthma symptoms cough", US_national_yearly!$D:$AM, 16, FALSE) / VLOOKUP("LULUCF|SO2|Asthma symptoms cough", US_national_yearly!$D:$AM, 10, FALSE), 1)</f>
        <v>9.1993432969689655E-3</v>
      </c>
      <c r="I6" s="7">
        <f>$B6 * IFERROR(VLOOKUP("LULUCF|SO2|Asthma symptoms cough", US_national_yearly!$D:$AM, 17, FALSE) / VLOOKUP("LULUCF|SO2|Asthma symptoms cough", US_national_yearly!$D:$AM, 10, FALSE), 1)</f>
        <v>9.1993432969689655E-3</v>
      </c>
      <c r="J6" s="7">
        <f>$B6 * IFERROR(VLOOKUP("LULUCF|SO2|Asthma symptoms cough", US_national_yearly!$D:$AM, 18, FALSE) / VLOOKUP("LULUCF|SO2|Asthma symptoms cough", US_national_yearly!$D:$AM, 10, FALSE), 1)</f>
        <v>9.1993432969689655E-3</v>
      </c>
      <c r="K6" s="7">
        <f>$B6 * IFERROR(VLOOKUP("LULUCF|SO2|Asthma symptoms cough", US_national_yearly!$D:$AM, 19, FALSE) / VLOOKUP("LULUCF|SO2|Asthma symptoms cough", US_national_yearly!$D:$AM, 10, FALSE), 1)</f>
        <v>9.1993432969689655E-3</v>
      </c>
      <c r="L6" s="7">
        <f>$B6 * IFERROR(VLOOKUP("LULUCF|SO2|Asthma symptoms cough", US_national_yearly!$D:$AM, 20, FALSE) / VLOOKUP("LULUCF|SO2|Asthma symptoms cough", US_national_yearly!$D:$AM, 10, FALSE), 1)</f>
        <v>9.1993432969689655E-3</v>
      </c>
      <c r="M6" s="7">
        <f>$B6 * IFERROR(VLOOKUP("LULUCF|SO2|Asthma symptoms cough", US_national_yearly!$D:$AM, 21, FALSE) / VLOOKUP("LULUCF|SO2|Asthma symptoms cough", US_national_yearly!$D:$AM, 10, FALSE), 1)</f>
        <v>9.1993432969689655E-3</v>
      </c>
      <c r="N6" s="7">
        <f>$B6 * IFERROR(VLOOKUP("LULUCF|SO2|Asthma symptoms cough", US_national_yearly!$D:$AM, 22, FALSE) / VLOOKUP("LULUCF|SO2|Asthma symptoms cough", US_national_yearly!$D:$AM, 10, FALSE), 1)</f>
        <v>9.1993432969689655E-3</v>
      </c>
      <c r="O6" s="7">
        <f>$B6 * IFERROR(VLOOKUP("LULUCF|SO2|Asthma symptoms cough", US_national_yearly!$D:$AM, 23, FALSE) / VLOOKUP("LULUCF|SO2|Asthma symptoms cough", US_national_yearly!$D:$AM, 10, FALSE), 1)</f>
        <v>9.1993432969689655E-3</v>
      </c>
      <c r="P6" s="7">
        <f>$B6 * IFERROR(VLOOKUP("LULUCF|SO2|Asthma symptoms cough", US_national_yearly!$D:$AM, 24, FALSE) / VLOOKUP("LULUCF|SO2|Asthma symptoms cough", US_national_yearly!$D:$AM, 10, FALSE), 1)</f>
        <v>9.1993432969689655E-3</v>
      </c>
      <c r="Q6" s="7">
        <f>$B6 * IFERROR(VLOOKUP("LULUCF|SO2|Asthma symptoms cough", US_national_yearly!$D:$AM, 25, FALSE) / VLOOKUP("LULUCF|SO2|Asthma symptoms cough", US_national_yearly!$D:$AM, 10, FALSE), 1)</f>
        <v>9.1993432969689655E-3</v>
      </c>
      <c r="R6" s="7">
        <f>$B6 * IFERROR(VLOOKUP("LULUCF|SO2|Asthma symptoms cough", US_national_yearly!$D:$AM, 26, FALSE) / VLOOKUP("LULUCF|SO2|Asthma symptoms cough", US_national_yearly!$D:$AM, 10, FALSE), 1)</f>
        <v>9.1993432969689655E-3</v>
      </c>
      <c r="S6" s="7">
        <f>$B6 * IFERROR(VLOOKUP("LULUCF|SO2|Asthma symptoms cough", US_national_yearly!$D:$AM, 27, FALSE) / VLOOKUP("LULUCF|SO2|Asthma symptoms cough", US_national_yearly!$D:$AM, 10, FALSE), 1)</f>
        <v>9.1993432969689655E-3</v>
      </c>
      <c r="T6" s="7">
        <f>$B6 * IFERROR(VLOOKUP("LULUCF|SO2|Asthma symptoms cough", US_national_yearly!$D:$AM, 28, FALSE) / VLOOKUP("LULUCF|SO2|Asthma symptoms cough", US_national_yearly!$D:$AM, 10, FALSE), 1)</f>
        <v>9.1993432969689655E-3</v>
      </c>
      <c r="U6" s="7">
        <f>$B6 * IFERROR(VLOOKUP("LULUCF|SO2|Asthma symptoms cough", US_national_yearly!$D:$AM, 29, FALSE) / VLOOKUP("LULUCF|SO2|Asthma symptoms cough", US_national_yearly!$D:$AM, 10, FALSE), 1)</f>
        <v>9.1993432969689655E-3</v>
      </c>
      <c r="V6" s="7">
        <f>$B6 * IFERROR(VLOOKUP("LULUCF|SO2|Asthma symptoms cough", US_national_yearly!$D:$AM, 30, FALSE) / VLOOKUP("LULUCF|SO2|Asthma symptoms cough", US_national_yearly!$D:$AM, 10, FALSE), 1)</f>
        <v>9.1993432969689655E-3</v>
      </c>
      <c r="W6" s="7">
        <f>$B6 * IFERROR(VLOOKUP("LULUCF|SO2|Asthma symptoms cough", US_national_yearly!$D:$AM, 31, FALSE) / VLOOKUP("LULUCF|SO2|Asthma symptoms cough", US_national_yearly!$D:$AM, 10, FALSE), 1)</f>
        <v>9.1993432969689655E-3</v>
      </c>
      <c r="X6" s="7">
        <f>$B6 * IFERROR(VLOOKUP("LULUCF|SO2|Asthma symptoms cough", US_national_yearly!$D:$AM, 32, FALSE) / VLOOKUP("LULUCF|SO2|Asthma symptoms cough", US_national_yearly!$D:$AM, 10, FALSE), 1)</f>
        <v>9.1993432969689655E-3</v>
      </c>
      <c r="Y6" s="7">
        <f>$B6 * IFERROR(VLOOKUP("LULUCF|SO2|Asthma symptoms cough", US_national_yearly!$D:$AM, 33, FALSE) / VLOOKUP("LULUCF|SO2|Asthma symptoms cough", US_national_yearly!$D:$AM, 10, FALSE), 1)</f>
        <v>9.1993432969689655E-3</v>
      </c>
      <c r="Z6" s="7">
        <f>$B6 * IFERROR(VLOOKUP("LULUCF|SO2|Asthma symptoms cough", US_national_yearly!$D:$AM, 34, FALSE) / VLOOKUP("LULUCF|SO2|Asthma symptoms cough", US_national_yearly!$D:$AM, 10, FALSE), 1)</f>
        <v>9.1993432969689655E-3</v>
      </c>
      <c r="AA6" s="7">
        <f>$B6 * IFERROR(VLOOKUP("LULUCF|SO2|Asthma symptoms cough", US_national_yearly!$D:$AM, 35, FALSE) / VLOOKUP("LULUCF|SO2|Asthma symptoms cough", US_national_yearly!$D:$AM, 10, FALSE), 1)</f>
        <v>9.1993432969689655E-3</v>
      </c>
      <c r="AB6" s="7">
        <f>$B6 * IFERROR(VLOOKUP("LULUCF|SO2|Asthma symptoms cough", US_national_yearly!$D:$AM, 36, FALSE) / VLOOKUP("LULUCF|SO2|Asthma symptoms cough", US_national_yearly!$D:$AM, 10, FALSE), 1)</f>
        <v>9.1993432969689655E-3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1.2387948382590819E-2</v>
      </c>
      <c r="C7" s="7">
        <f>$B7 * IFERROR(VLOOKUP("LULUCF|SO2|Asthma symptoms shortness of breath", US_national_yearly!$D:$AM, 11, FALSE) / VLOOKUP("LULUCF|SO2|Asthma symptoms shortness of breath", US_national_yearly!$D:$AM, 10, FALSE), 1)</f>
        <v>1.2387948382590819E-2</v>
      </c>
      <c r="D7" s="7">
        <f>$B7 * IFERROR(VLOOKUP("LULUCF|SO2|Asthma symptoms shortness of breath", US_national_yearly!$D:$AM, 12, FALSE) / VLOOKUP("LULUCF|SO2|Asthma symptoms shortness of breath", US_national_yearly!$D:$AM, 10, FALSE), 1)</f>
        <v>1.2387948382590819E-2</v>
      </c>
      <c r="E7" s="7">
        <f>$B7 * IFERROR(VLOOKUP("LULUCF|SO2|Asthma symptoms shortness of breath", US_national_yearly!$D:$AM, 13, FALSE) / VLOOKUP("LULUCF|SO2|Asthma symptoms shortness of breath", US_national_yearly!$D:$AM, 10, FALSE), 1)</f>
        <v>1.2387948382590819E-2</v>
      </c>
      <c r="F7" s="7">
        <f>$B7 * IFERROR(VLOOKUP("LULUCF|SO2|Asthma symptoms shortness of breath", US_national_yearly!$D:$AM, 14, FALSE) / VLOOKUP("LULUCF|SO2|Asthma symptoms shortness of breath", US_national_yearly!$D:$AM, 10, FALSE), 1)</f>
        <v>1.2387948382590819E-2</v>
      </c>
      <c r="G7" s="7">
        <f>$B7 * IFERROR(VLOOKUP("LULUCF|SO2|Asthma symptoms shortness of breath", US_national_yearly!$D:$AM, 15, FALSE) / VLOOKUP("LULUCF|SO2|Asthma symptoms shortness of breath", US_national_yearly!$D:$AM, 10, FALSE), 1)</f>
        <v>1.2387948382590819E-2</v>
      </c>
      <c r="H7" s="7">
        <f>$B7 * IFERROR(VLOOKUP("LULUCF|SO2|Asthma symptoms shortness of breath", US_national_yearly!$D:$AM, 16, FALSE) / VLOOKUP("LULUCF|SO2|Asthma symptoms shortness of breath", US_national_yearly!$D:$AM, 10, FALSE), 1)</f>
        <v>1.2387948382590819E-2</v>
      </c>
      <c r="I7" s="7">
        <f>$B7 * IFERROR(VLOOKUP("LULUCF|SO2|Asthma symptoms shortness of breath", US_national_yearly!$D:$AM, 17, FALSE) / VLOOKUP("LULUCF|SO2|Asthma symptoms shortness of breath", US_national_yearly!$D:$AM, 10, FALSE), 1)</f>
        <v>1.2387948382590819E-2</v>
      </c>
      <c r="J7" s="7">
        <f>$B7 * IFERROR(VLOOKUP("LULUCF|SO2|Asthma symptoms shortness of breath", US_national_yearly!$D:$AM, 18, FALSE) / VLOOKUP("LULUCF|SO2|Asthma symptoms shortness of breath", US_national_yearly!$D:$AM, 10, FALSE), 1)</f>
        <v>1.2387948382590819E-2</v>
      </c>
      <c r="K7" s="7">
        <f>$B7 * IFERROR(VLOOKUP("LULUCF|SO2|Asthma symptoms shortness of breath", US_national_yearly!$D:$AM, 19, FALSE) / VLOOKUP("LULUCF|SO2|Asthma symptoms shortness of breath", US_national_yearly!$D:$AM, 10, FALSE), 1)</f>
        <v>1.2387948382590819E-2</v>
      </c>
      <c r="L7" s="7">
        <f>$B7 * IFERROR(VLOOKUP("LULUCF|SO2|Asthma symptoms shortness of breath", US_national_yearly!$D:$AM, 20, FALSE) / VLOOKUP("LULUCF|SO2|Asthma symptoms shortness of breath", US_national_yearly!$D:$AM, 10, FALSE), 1)</f>
        <v>1.2387948382590819E-2</v>
      </c>
      <c r="M7" s="7">
        <f>$B7 * IFERROR(VLOOKUP("LULUCF|SO2|Asthma symptoms shortness of breath", US_national_yearly!$D:$AM, 21, FALSE) / VLOOKUP("LULUCF|SO2|Asthma symptoms shortness of breath", US_national_yearly!$D:$AM, 10, FALSE), 1)</f>
        <v>1.2387948382590819E-2</v>
      </c>
      <c r="N7" s="7">
        <f>$B7 * IFERROR(VLOOKUP("LULUCF|SO2|Asthma symptoms shortness of breath", US_national_yearly!$D:$AM, 22, FALSE) / VLOOKUP("LULUCF|SO2|Asthma symptoms shortness of breath", US_national_yearly!$D:$AM, 10, FALSE), 1)</f>
        <v>1.2387948382590819E-2</v>
      </c>
      <c r="O7" s="7">
        <f>$B7 * IFERROR(VLOOKUP("LULUCF|SO2|Asthma symptoms shortness of breath", US_national_yearly!$D:$AM, 23, FALSE) / VLOOKUP("LULUCF|SO2|Asthma symptoms shortness of breath", US_national_yearly!$D:$AM, 10, FALSE), 1)</f>
        <v>1.2387948382590819E-2</v>
      </c>
      <c r="P7" s="7">
        <f>$B7 * IFERROR(VLOOKUP("LULUCF|SO2|Asthma symptoms shortness of breath", US_national_yearly!$D:$AM, 24, FALSE) / VLOOKUP("LULUCF|SO2|Asthma symptoms shortness of breath", US_national_yearly!$D:$AM, 10, FALSE), 1)</f>
        <v>1.2387948382590819E-2</v>
      </c>
      <c r="Q7" s="7">
        <f>$B7 * IFERROR(VLOOKUP("LULUCF|SO2|Asthma symptoms shortness of breath", US_national_yearly!$D:$AM, 25, FALSE) / VLOOKUP("LULUCF|SO2|Asthma symptoms shortness of breath", US_national_yearly!$D:$AM, 10, FALSE), 1)</f>
        <v>1.2387948382590819E-2</v>
      </c>
      <c r="R7" s="7">
        <f>$B7 * IFERROR(VLOOKUP("LULUCF|SO2|Asthma symptoms shortness of breath", US_national_yearly!$D:$AM, 26, FALSE) / VLOOKUP("LULUCF|SO2|Asthma symptoms shortness of breath", US_national_yearly!$D:$AM, 10, FALSE), 1)</f>
        <v>1.2387948382590819E-2</v>
      </c>
      <c r="S7" s="7">
        <f>$B7 * IFERROR(VLOOKUP("LULUCF|SO2|Asthma symptoms shortness of breath", US_national_yearly!$D:$AM, 27, FALSE) / VLOOKUP("LULUCF|SO2|Asthma symptoms shortness of breath", US_national_yearly!$D:$AM, 10, FALSE), 1)</f>
        <v>1.2387948382590819E-2</v>
      </c>
      <c r="T7" s="7">
        <f>$B7 * IFERROR(VLOOKUP("LULUCF|SO2|Asthma symptoms shortness of breath", US_national_yearly!$D:$AM, 28, FALSE) / VLOOKUP("LULUCF|SO2|Asthma symptoms shortness of breath", US_national_yearly!$D:$AM, 10, FALSE), 1)</f>
        <v>1.2387948382590819E-2</v>
      </c>
      <c r="U7" s="7">
        <f>$B7 * IFERROR(VLOOKUP("LULUCF|SO2|Asthma symptoms shortness of breath", US_national_yearly!$D:$AM, 29, FALSE) / VLOOKUP("LULUCF|SO2|Asthma symptoms shortness of breath", US_national_yearly!$D:$AM, 10, FALSE), 1)</f>
        <v>1.2387948382590819E-2</v>
      </c>
      <c r="V7" s="7">
        <f>$B7 * IFERROR(VLOOKUP("LULUCF|SO2|Asthma symptoms shortness of breath", US_national_yearly!$D:$AM, 30, FALSE) / VLOOKUP("LULUCF|SO2|Asthma symptoms shortness of breath", US_national_yearly!$D:$AM, 10, FALSE), 1)</f>
        <v>1.2387948382590819E-2</v>
      </c>
      <c r="W7" s="7">
        <f>$B7 * IFERROR(VLOOKUP("LULUCF|SO2|Asthma symptoms shortness of breath", US_national_yearly!$D:$AM, 31, FALSE) / VLOOKUP("LULUCF|SO2|Asthma symptoms shortness of breath", US_national_yearly!$D:$AM, 10, FALSE), 1)</f>
        <v>1.2387948382590819E-2</v>
      </c>
      <c r="X7" s="7">
        <f>$B7 * IFERROR(VLOOKUP("LULUCF|SO2|Asthma symptoms shortness of breath", US_national_yearly!$D:$AM, 32, FALSE) / VLOOKUP("LULUCF|SO2|Asthma symptoms shortness of breath", US_national_yearly!$D:$AM, 10, FALSE), 1)</f>
        <v>1.2387948382590819E-2</v>
      </c>
      <c r="Y7" s="7">
        <f>$B7 * IFERROR(VLOOKUP("LULUCF|SO2|Asthma symptoms shortness of breath", US_national_yearly!$D:$AM, 33, FALSE) / VLOOKUP("LULUCF|SO2|Asthma symptoms shortness of breath", US_national_yearly!$D:$AM, 10, FALSE), 1)</f>
        <v>1.2387948382590819E-2</v>
      </c>
      <c r="Z7" s="7">
        <f>$B7 * IFERROR(VLOOKUP("LULUCF|SO2|Asthma symptoms shortness of breath", US_national_yearly!$D:$AM, 34, FALSE) / VLOOKUP("LULUCF|SO2|Asthma symptoms shortness of breath", US_national_yearly!$D:$AM, 10, FALSE), 1)</f>
        <v>1.2387948382590819E-2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1.2387948382590819E-2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1.2387948382590819E-2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1.8927763252480946E-2</v>
      </c>
      <c r="C8" s="7">
        <f>$B8 * IFERROR(VLOOKUP("LULUCF|SO2|Asthma symptoms wheeze", US_national_yearly!$D:$AM, 11, FALSE) / VLOOKUP("LULUCF|SO2|Asthma symptoms wheeze", US_national_yearly!$D:$AM, 10, FALSE), 1)</f>
        <v>1.8927763252480946E-2</v>
      </c>
      <c r="D8" s="7">
        <f>$B8 * IFERROR(VLOOKUP("LULUCF|SO2|Asthma symptoms wheeze", US_national_yearly!$D:$AM, 12, FALSE) / VLOOKUP("LULUCF|SO2|Asthma symptoms wheeze", US_national_yearly!$D:$AM, 10, FALSE), 1)</f>
        <v>1.8927763252480946E-2</v>
      </c>
      <c r="E8" s="7">
        <f>$B8 * IFERROR(VLOOKUP("LULUCF|SO2|Asthma symptoms wheeze", US_national_yearly!$D:$AM, 13, FALSE) / VLOOKUP("LULUCF|SO2|Asthma symptoms wheeze", US_national_yearly!$D:$AM, 10, FALSE), 1)</f>
        <v>1.8927763252480946E-2</v>
      </c>
      <c r="F8" s="7">
        <f>$B8 * IFERROR(VLOOKUP("LULUCF|SO2|Asthma symptoms wheeze", US_national_yearly!$D:$AM, 14, FALSE) / VLOOKUP("LULUCF|SO2|Asthma symptoms wheeze", US_national_yearly!$D:$AM, 10, FALSE), 1)</f>
        <v>1.8927763252480946E-2</v>
      </c>
      <c r="G8" s="7">
        <f>$B8 * IFERROR(VLOOKUP("LULUCF|SO2|Asthma symptoms wheeze", US_national_yearly!$D:$AM, 15, FALSE) / VLOOKUP("LULUCF|SO2|Asthma symptoms wheeze", US_national_yearly!$D:$AM, 10, FALSE), 1)</f>
        <v>1.8927763252480946E-2</v>
      </c>
      <c r="H8" s="7">
        <f>$B8 * IFERROR(VLOOKUP("LULUCF|SO2|Asthma symptoms wheeze", US_national_yearly!$D:$AM, 16, FALSE) / VLOOKUP("LULUCF|SO2|Asthma symptoms wheeze", US_national_yearly!$D:$AM, 10, FALSE), 1)</f>
        <v>1.8927763252480946E-2</v>
      </c>
      <c r="I8" s="7">
        <f>$B8 * IFERROR(VLOOKUP("LULUCF|SO2|Asthma symptoms wheeze", US_national_yearly!$D:$AM, 17, FALSE) / VLOOKUP("LULUCF|SO2|Asthma symptoms wheeze", US_national_yearly!$D:$AM, 10, FALSE), 1)</f>
        <v>1.8927763252480946E-2</v>
      </c>
      <c r="J8" s="7">
        <f>$B8 * IFERROR(VLOOKUP("LULUCF|SO2|Asthma symptoms wheeze", US_national_yearly!$D:$AM, 18, FALSE) / VLOOKUP("LULUCF|SO2|Asthma symptoms wheeze", US_national_yearly!$D:$AM, 10, FALSE), 1)</f>
        <v>1.8927763252480946E-2</v>
      </c>
      <c r="K8" s="7">
        <f>$B8 * IFERROR(VLOOKUP("LULUCF|SO2|Asthma symptoms wheeze", US_national_yearly!$D:$AM, 19, FALSE) / VLOOKUP("LULUCF|SO2|Asthma symptoms wheeze", US_national_yearly!$D:$AM, 10, FALSE), 1)</f>
        <v>1.8927763252480946E-2</v>
      </c>
      <c r="L8" s="7">
        <f>$B8 * IFERROR(VLOOKUP("LULUCF|SO2|Asthma symptoms wheeze", US_national_yearly!$D:$AM, 20, FALSE) / VLOOKUP("LULUCF|SO2|Asthma symptoms wheeze", US_national_yearly!$D:$AM, 10, FALSE), 1)</f>
        <v>1.8927763252480946E-2</v>
      </c>
      <c r="M8" s="7">
        <f>$B8 * IFERROR(VLOOKUP("LULUCF|SO2|Asthma symptoms wheeze", US_national_yearly!$D:$AM, 21, FALSE) / VLOOKUP("LULUCF|SO2|Asthma symptoms wheeze", US_national_yearly!$D:$AM, 10, FALSE), 1)</f>
        <v>1.8927763252480946E-2</v>
      </c>
      <c r="N8" s="7">
        <f>$B8 * IFERROR(VLOOKUP("LULUCF|SO2|Asthma symptoms wheeze", US_national_yearly!$D:$AM, 22, FALSE) / VLOOKUP("LULUCF|SO2|Asthma symptoms wheeze", US_national_yearly!$D:$AM, 10, FALSE), 1)</f>
        <v>1.8927763252480946E-2</v>
      </c>
      <c r="O8" s="7">
        <f>$B8 * IFERROR(VLOOKUP("LULUCF|SO2|Asthma symptoms wheeze", US_national_yearly!$D:$AM, 23, FALSE) / VLOOKUP("LULUCF|SO2|Asthma symptoms wheeze", US_national_yearly!$D:$AM, 10, FALSE), 1)</f>
        <v>1.8927763252480946E-2</v>
      </c>
      <c r="P8" s="7">
        <f>$B8 * IFERROR(VLOOKUP("LULUCF|SO2|Asthma symptoms wheeze", US_national_yearly!$D:$AM, 24, FALSE) / VLOOKUP("LULUCF|SO2|Asthma symptoms wheeze", US_national_yearly!$D:$AM, 10, FALSE), 1)</f>
        <v>1.8927763252480946E-2</v>
      </c>
      <c r="Q8" s="7">
        <f>$B8 * IFERROR(VLOOKUP("LULUCF|SO2|Asthma symptoms wheeze", US_national_yearly!$D:$AM, 25, FALSE) / VLOOKUP("LULUCF|SO2|Asthma symptoms wheeze", US_national_yearly!$D:$AM, 10, FALSE), 1)</f>
        <v>1.8927763252480946E-2</v>
      </c>
      <c r="R8" s="7">
        <f>$B8 * IFERROR(VLOOKUP("LULUCF|SO2|Asthma symptoms wheeze", US_national_yearly!$D:$AM, 26, FALSE) / VLOOKUP("LULUCF|SO2|Asthma symptoms wheeze", US_national_yearly!$D:$AM, 10, FALSE), 1)</f>
        <v>1.8927763252480946E-2</v>
      </c>
      <c r="S8" s="7">
        <f>$B8 * IFERROR(VLOOKUP("LULUCF|SO2|Asthma symptoms wheeze", US_national_yearly!$D:$AM, 27, FALSE) / VLOOKUP("LULUCF|SO2|Asthma symptoms wheeze", US_national_yearly!$D:$AM, 10, FALSE), 1)</f>
        <v>1.8927763252480946E-2</v>
      </c>
      <c r="T8" s="7">
        <f>$B8 * IFERROR(VLOOKUP("LULUCF|SO2|Asthma symptoms wheeze", US_national_yearly!$D:$AM, 28, FALSE) / VLOOKUP("LULUCF|SO2|Asthma symptoms wheeze", US_national_yearly!$D:$AM, 10, FALSE), 1)</f>
        <v>1.8927763252480946E-2</v>
      </c>
      <c r="U8" s="7">
        <f>$B8 * IFERROR(VLOOKUP("LULUCF|SO2|Asthma symptoms wheeze", US_national_yearly!$D:$AM, 29, FALSE) / VLOOKUP("LULUCF|SO2|Asthma symptoms wheeze", US_national_yearly!$D:$AM, 10, FALSE), 1)</f>
        <v>1.8927763252480946E-2</v>
      </c>
      <c r="V8" s="7">
        <f>$B8 * IFERROR(VLOOKUP("LULUCF|SO2|Asthma symptoms wheeze", US_national_yearly!$D:$AM, 30, FALSE) / VLOOKUP("LULUCF|SO2|Asthma symptoms wheeze", US_national_yearly!$D:$AM, 10, FALSE), 1)</f>
        <v>1.8927763252480946E-2</v>
      </c>
      <c r="W8" s="7">
        <f>$B8 * IFERROR(VLOOKUP("LULUCF|SO2|Asthma symptoms wheeze", US_national_yearly!$D:$AM, 31, FALSE) / VLOOKUP("LULUCF|SO2|Asthma symptoms wheeze", US_national_yearly!$D:$AM, 10, FALSE), 1)</f>
        <v>1.8927763252480946E-2</v>
      </c>
      <c r="X8" s="7">
        <f>$B8 * IFERROR(VLOOKUP("LULUCF|SO2|Asthma symptoms wheeze", US_national_yearly!$D:$AM, 32, FALSE) / VLOOKUP("LULUCF|SO2|Asthma symptoms wheeze", US_national_yearly!$D:$AM, 10, FALSE), 1)</f>
        <v>1.8927763252480946E-2</v>
      </c>
      <c r="Y8" s="7">
        <f>$B8 * IFERROR(VLOOKUP("LULUCF|SO2|Asthma symptoms wheeze", US_national_yearly!$D:$AM, 33, FALSE) / VLOOKUP("LULUCF|SO2|Asthma symptoms wheeze", US_national_yearly!$D:$AM, 10, FALSE), 1)</f>
        <v>1.8927763252480946E-2</v>
      </c>
      <c r="Z8" s="7">
        <f>$B8 * IFERROR(VLOOKUP("LULUCF|SO2|Asthma symptoms wheeze", US_national_yearly!$D:$AM, 34, FALSE) / VLOOKUP("LULUCF|SO2|Asthma symptoms wheeze", US_national_yearly!$D:$AM, 10, FALSE), 1)</f>
        <v>1.8927763252480946E-2</v>
      </c>
      <c r="AA8" s="7">
        <f>$B8 * IFERROR(VLOOKUP("LULUCF|SO2|Asthma symptoms wheeze", US_national_yearly!$D:$AM, 35, FALSE) / VLOOKUP("LULUCF|SO2|Asthma symptoms wheeze", US_national_yearly!$D:$AM, 10, FALSE), 1)</f>
        <v>1.8927763252480946E-2</v>
      </c>
      <c r="AB8" s="7">
        <f>$B8 * IFERROR(VLOOKUP("LULUCF|SO2|Asthma symptoms wheeze", US_national_yearly!$D:$AM, 36, FALSE) / VLOOKUP("LULUCF|SO2|Asthma symptoms wheeze", US_national_yearly!$D:$AM, 10, FALSE), 1)</f>
        <v>1.8927763252480946E-2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3.9449216456175797E-4</v>
      </c>
      <c r="C12" s="7">
        <f>$B12 * IFERROR(VLOOKUP("LULUCF|SO2|Respiratory hospital admissions", US_national_yearly!$D:$AM, 11, FALSE) / VLOOKUP("LULUCF|SO2|Respiratory hospital admissions", US_national_yearly!$D:$AM, 10, FALSE), 1)</f>
        <v>3.9681889895259168E-4</v>
      </c>
      <c r="D12" s="7">
        <f>$B12 * IFERROR(VLOOKUP("LULUCF|SO2|Respiratory hospital admissions", US_national_yearly!$D:$AM, 12, FALSE) / VLOOKUP("LULUCF|SO2|Respiratory hospital admissions", US_national_yearly!$D:$AM, 10, FALSE), 1)</f>
        <v>3.9914563334342539E-4</v>
      </c>
      <c r="E12" s="7">
        <f>$B12 * IFERROR(VLOOKUP("LULUCF|SO2|Respiratory hospital admissions", US_national_yearly!$D:$AM, 13, FALSE) / VLOOKUP("LULUCF|SO2|Respiratory hospital admissions", US_national_yearly!$D:$AM, 10, FALSE), 1)</f>
        <v>4.0147236773425911E-4</v>
      </c>
      <c r="F12" s="7">
        <f>$B12 * IFERROR(VLOOKUP("LULUCF|SO2|Respiratory hospital admissions", US_national_yearly!$D:$AM, 14, FALSE) / VLOOKUP("LULUCF|SO2|Respiratory hospital admissions", US_national_yearly!$D:$AM, 10, FALSE), 1)</f>
        <v>4.0379910212509282E-4</v>
      </c>
      <c r="G12" s="7">
        <f>$B12 * IFERROR(VLOOKUP("LULUCF|SO2|Respiratory hospital admissions", US_national_yearly!$D:$AM, 15, FALSE) / VLOOKUP("LULUCF|SO2|Respiratory hospital admissions", US_national_yearly!$D:$AM, 10, FALSE), 1)</f>
        <v>4.0633563506370574E-4</v>
      </c>
      <c r="H12" s="7">
        <f>$B12 * IFERROR(VLOOKUP("LULUCF|SO2|Respiratory hospital admissions", US_national_yearly!$D:$AM, 16, FALSE) / VLOOKUP("LULUCF|SO2|Respiratory hospital admissions", US_national_yearly!$D:$AM, 10, FALSE), 1)</f>
        <v>4.0887216800231867E-4</v>
      </c>
      <c r="I12" s="7">
        <f>$B12 * IFERROR(VLOOKUP("LULUCF|SO2|Respiratory hospital admissions", US_national_yearly!$D:$AM, 17, FALSE) / VLOOKUP("LULUCF|SO2|Respiratory hospital admissions", US_national_yearly!$D:$AM, 10, FALSE), 1)</f>
        <v>4.1137349148987981E-4</v>
      </c>
      <c r="J12" s="7">
        <f>$B12 * IFERROR(VLOOKUP("LULUCF|SO2|Respiratory hospital admissions", US_national_yearly!$D:$AM, 18, FALSE) / VLOOKUP("LULUCF|SO2|Respiratory hospital admissions", US_national_yearly!$D:$AM, 10, FALSE), 1)</f>
        <v>4.13874814977441E-4</v>
      </c>
      <c r="K12" s="7">
        <f>$B12 * IFERROR(VLOOKUP("LULUCF|SO2|Respiratory hospital admissions", US_national_yearly!$D:$AM, 19, FALSE) / VLOOKUP("LULUCF|SO2|Respiratory hospital admissions", US_national_yearly!$D:$AM, 10, FALSE), 1)</f>
        <v>4.1637613846500204E-4</v>
      </c>
      <c r="L12" s="7">
        <f>$B12 * IFERROR(VLOOKUP("LULUCF|SO2|Respiratory hospital admissions", US_national_yearly!$D:$AM, 20, FALSE) / VLOOKUP("LULUCF|SO2|Respiratory hospital admissions", US_national_yearly!$D:$AM, 10, FALSE), 1)</f>
        <v>4.1887746195256329E-4</v>
      </c>
      <c r="M12" s="7">
        <f>$B12 * IFERROR(VLOOKUP("LULUCF|SO2|Respiratory hospital admissions", US_national_yearly!$D:$AM, 21, FALSE) / VLOOKUP("LULUCF|SO2|Respiratory hospital admissions", US_national_yearly!$D:$AM, 10, FALSE), 1)</f>
        <v>4.2137878544012432E-4</v>
      </c>
      <c r="N12" s="7">
        <f>$B12 * IFERROR(VLOOKUP("LULUCF|SO2|Respiratory hospital admissions", US_national_yearly!$D:$AM, 22, FALSE) / VLOOKUP("LULUCF|SO2|Respiratory hospital admissions", US_national_yearly!$D:$AM, 10, FALSE), 1)</f>
        <v>4.2320467437369561E-4</v>
      </c>
      <c r="O12" s="7">
        <f>$B12 * IFERROR(VLOOKUP("LULUCF|SO2|Respiratory hospital admissions", US_national_yearly!$D:$AM, 23, FALSE) / VLOOKUP("LULUCF|SO2|Respiratory hospital admissions", US_national_yearly!$D:$AM, 10, FALSE), 1)</f>
        <v>4.2503056330726679E-4</v>
      </c>
      <c r="P12" s="7">
        <f>$B12 * IFERROR(VLOOKUP("LULUCF|SO2|Respiratory hospital admissions", US_national_yearly!$D:$AM, 24, FALSE) / VLOOKUP("LULUCF|SO2|Respiratory hospital admissions", US_national_yearly!$D:$AM, 10, FALSE), 1)</f>
        <v>4.2685645224083802E-4</v>
      </c>
      <c r="Q12" s="7">
        <f>$B12 * IFERROR(VLOOKUP("LULUCF|SO2|Respiratory hospital admissions", US_national_yearly!$D:$AM, 25, FALSE) / VLOOKUP("LULUCF|SO2|Respiratory hospital admissions", US_national_yearly!$D:$AM, 10, FALSE), 1)</f>
        <v>4.2868234117440931E-4</v>
      </c>
      <c r="R12" s="7">
        <f>$B12 * IFERROR(VLOOKUP("LULUCF|SO2|Respiratory hospital admissions", US_national_yearly!$D:$AM, 26, FALSE) / VLOOKUP("LULUCF|SO2|Respiratory hospital admissions", US_national_yearly!$D:$AM, 10, FALSE), 1)</f>
        <v>4.3050823010798049E-4</v>
      </c>
      <c r="S12" s="7">
        <f>$B12 * IFERROR(VLOOKUP("LULUCF|SO2|Respiratory hospital admissions", US_national_yearly!$D:$AM, 27, FALSE) / VLOOKUP("LULUCF|SO2|Respiratory hospital admissions", US_national_yearly!$D:$AM, 10, FALSE), 1)</f>
        <v>4.3224998883135052E-4</v>
      </c>
      <c r="T12" s="7">
        <f>$B12 * IFERROR(VLOOKUP("LULUCF|SO2|Respiratory hospital admissions", US_national_yearly!$D:$AM, 28, FALSE) / VLOOKUP("LULUCF|SO2|Respiratory hospital admissions", US_national_yearly!$D:$AM, 10, FALSE), 1)</f>
        <v>4.3399174755472049E-4</v>
      </c>
      <c r="U12" s="7">
        <f>$B12 * IFERROR(VLOOKUP("LULUCF|SO2|Respiratory hospital admissions", US_national_yearly!$D:$AM, 29, FALSE) / VLOOKUP("LULUCF|SO2|Respiratory hospital admissions", US_national_yearly!$D:$AM, 10, FALSE), 1)</f>
        <v>4.3573350627809057E-4</v>
      </c>
      <c r="V12" s="7">
        <f>$B12 * IFERROR(VLOOKUP("LULUCF|SO2|Respiratory hospital admissions", US_national_yearly!$D:$AM, 30, FALSE) / VLOOKUP("LULUCF|SO2|Respiratory hospital admissions", US_national_yearly!$D:$AM, 10, FALSE), 1)</f>
        <v>4.374752650014606E-4</v>
      </c>
      <c r="W12" s="7">
        <f>$B12 * IFERROR(VLOOKUP("LULUCF|SO2|Respiratory hospital admissions", US_national_yearly!$D:$AM, 31, FALSE) / VLOOKUP("LULUCF|SO2|Respiratory hospital admissions", US_national_yearly!$D:$AM, 10, FALSE), 1)</f>
        <v>4.3921702372483063E-4</v>
      </c>
      <c r="X12" s="7">
        <f>$B12 * IFERROR(VLOOKUP("LULUCF|SO2|Respiratory hospital admissions", US_national_yearly!$D:$AM, 32, FALSE) / VLOOKUP("LULUCF|SO2|Respiratory hospital admissions", US_national_yearly!$D:$AM, 10, FALSE), 1)</f>
        <v>4.4086966679051011E-4</v>
      </c>
      <c r="Y12" s="7">
        <f>$B12 * IFERROR(VLOOKUP("LULUCF|SO2|Respiratory hospital admissions", US_national_yearly!$D:$AM, 33, FALSE) / VLOOKUP("LULUCF|SO2|Respiratory hospital admissions", US_national_yearly!$D:$AM, 10, FALSE), 1)</f>
        <v>4.4252230985618958E-4</v>
      </c>
      <c r="Z12" s="7">
        <f>$B12 * IFERROR(VLOOKUP("LULUCF|SO2|Respiratory hospital admissions", US_national_yearly!$D:$AM, 34, FALSE) / VLOOKUP("LULUCF|SO2|Respiratory hospital admissions", US_national_yearly!$D:$AM, 10, FALSE), 1)</f>
        <v>4.44174952921869E-4</v>
      </c>
      <c r="AA12" s="7">
        <f>$B12 * IFERROR(VLOOKUP("LULUCF|SO2|Respiratory hospital admissions", US_national_yearly!$D:$AM, 35, FALSE) / VLOOKUP("LULUCF|SO2|Respiratory hospital admissions", US_national_yearly!$D:$AM, 10, FALSE), 1)</f>
        <v>4.4582759598754847E-4</v>
      </c>
      <c r="AB12" s="7">
        <f>$B12 * IFERROR(VLOOKUP("LULUCF|SO2|Respiratory hospital admissions", US_national_yearly!$D:$AM, 36, FALSE) / VLOOKUP("LULUCF|SO2|Respiratory hospital admissions", US_national_yearly!$D:$AM, 10, FALSE), 1)</f>
        <v>4.47480239053228E-4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2.3223371893322901E-3</v>
      </c>
      <c r="C13" s="7">
        <f>$B13 * IFERROR(VLOOKUP("LULUCF|SO2|Non-fatal heart attacks", US_national_yearly!$D:$AM, 11, FALSE) / VLOOKUP("LULUCF|SO2|Non-fatal heart attacks", US_national_yearly!$D:$AM, 10, FALSE), 1)</f>
        <v>2.3905125740199063E-3</v>
      </c>
      <c r="D13" s="7">
        <f>$B13 * IFERROR(VLOOKUP("LULUCF|SO2|Non-fatal heart attacks", US_national_yearly!$D:$AM, 12, FALSE) / VLOOKUP("LULUCF|SO2|Non-fatal heart attacks", US_national_yearly!$D:$AM, 10, FALSE), 1)</f>
        <v>2.4586879587075229E-3</v>
      </c>
      <c r="E13" s="7">
        <f>$B13 * IFERROR(VLOOKUP("LULUCF|SO2|Non-fatal heart attacks", US_national_yearly!$D:$AM, 13, FALSE) / VLOOKUP("LULUCF|SO2|Non-fatal heart attacks", US_national_yearly!$D:$AM, 10, FALSE), 1)</f>
        <v>2.526863343395139E-3</v>
      </c>
      <c r="F13" s="7">
        <f>$B13 * IFERROR(VLOOKUP("LULUCF|SO2|Non-fatal heart attacks", US_national_yearly!$D:$AM, 14, FALSE) / VLOOKUP("LULUCF|SO2|Non-fatal heart attacks", US_national_yearly!$D:$AM, 10, FALSE), 1)</f>
        <v>2.5950387280827551E-3</v>
      </c>
      <c r="G13" s="7">
        <f>$B13 * IFERROR(VLOOKUP("LULUCF|SO2|Non-fatal heart attacks", US_national_yearly!$D:$AM, 15, FALSE) / VLOOKUP("LULUCF|SO2|Non-fatal heart attacks", US_national_yearly!$D:$AM, 10, FALSE), 1)</f>
        <v>2.6593344394964182E-3</v>
      </c>
      <c r="H13" s="7">
        <f>$B13 * IFERROR(VLOOKUP("LULUCF|SO2|Non-fatal heart attacks", US_national_yearly!$D:$AM, 16, FALSE) / VLOOKUP("LULUCF|SO2|Non-fatal heart attacks", US_national_yearly!$D:$AM, 10, FALSE), 1)</f>
        <v>2.7236301509100812E-3</v>
      </c>
      <c r="I13" s="7">
        <f>$B13 * IFERROR(VLOOKUP("LULUCF|SO2|Non-fatal heart attacks", US_national_yearly!$D:$AM, 17, FALSE) / VLOOKUP("LULUCF|SO2|Non-fatal heart attacks", US_national_yearly!$D:$AM, 10, FALSE), 1)</f>
        <v>2.7753680428247367E-3</v>
      </c>
      <c r="J13" s="7">
        <f>$B13 * IFERROR(VLOOKUP("LULUCF|SO2|Non-fatal heart attacks", US_national_yearly!$D:$AM, 18, FALSE) / VLOOKUP("LULUCF|SO2|Non-fatal heart attacks", US_national_yearly!$D:$AM, 10, FALSE), 1)</f>
        <v>2.827105934739393E-3</v>
      </c>
      <c r="K13" s="7">
        <f>$B13 * IFERROR(VLOOKUP("LULUCF|SO2|Non-fatal heart attacks", US_national_yearly!$D:$AM, 19, FALSE) / VLOOKUP("LULUCF|SO2|Non-fatal heart attacks", US_national_yearly!$D:$AM, 10, FALSE), 1)</f>
        <v>2.8788438266540485E-3</v>
      </c>
      <c r="L13" s="7">
        <f>$B13 * IFERROR(VLOOKUP("LULUCF|SO2|Non-fatal heart attacks", US_national_yearly!$D:$AM, 20, FALSE) / VLOOKUP("LULUCF|SO2|Non-fatal heart attacks", US_national_yearly!$D:$AM, 10, FALSE), 1)</f>
        <v>2.9305817185687052E-3</v>
      </c>
      <c r="M13" s="7">
        <f>$B13 * IFERROR(VLOOKUP("LULUCF|SO2|Non-fatal heart attacks", US_national_yearly!$D:$AM, 21, FALSE) / VLOOKUP("LULUCF|SO2|Non-fatal heart attacks", US_national_yearly!$D:$AM, 10, FALSE), 1)</f>
        <v>2.9823196104833615E-3</v>
      </c>
      <c r="N13" s="7">
        <f>$B13 * IFERROR(VLOOKUP("LULUCF|SO2|Non-fatal heart attacks", US_national_yearly!$D:$AM, 22, FALSE) / VLOOKUP("LULUCF|SO2|Non-fatal heart attacks", US_national_yearly!$D:$AM, 10, FALSE), 1)</f>
        <v>3.0159136487802134E-3</v>
      </c>
      <c r="O13" s="7">
        <f>$B13 * IFERROR(VLOOKUP("LULUCF|SO2|Non-fatal heart attacks", US_national_yearly!$D:$AM, 23, FALSE) / VLOOKUP("LULUCF|SO2|Non-fatal heart attacks", US_national_yearly!$D:$AM, 10, FALSE), 1)</f>
        <v>3.0495076870770666E-3</v>
      </c>
      <c r="P13" s="7">
        <f>$B13 * IFERROR(VLOOKUP("LULUCF|SO2|Non-fatal heart attacks", US_national_yearly!$D:$AM, 24, FALSE) / VLOOKUP("LULUCF|SO2|Non-fatal heart attacks", US_national_yearly!$D:$AM, 10, FALSE), 1)</f>
        <v>3.0831017253739193E-3</v>
      </c>
      <c r="Q13" s="7">
        <f>$B13 * IFERROR(VLOOKUP("LULUCF|SO2|Non-fatal heart attacks", US_national_yearly!$D:$AM, 25, FALSE) / VLOOKUP("LULUCF|SO2|Non-fatal heart attacks", US_national_yearly!$D:$AM, 10, FALSE), 1)</f>
        <v>3.1166957636707721E-3</v>
      </c>
      <c r="R13" s="7">
        <f>$B13 * IFERROR(VLOOKUP("LULUCF|SO2|Non-fatal heart attacks", US_national_yearly!$D:$AM, 26, FALSE) / VLOOKUP("LULUCF|SO2|Non-fatal heart attacks", US_national_yearly!$D:$AM, 10, FALSE), 1)</f>
        <v>3.1502898019676244E-3</v>
      </c>
      <c r="S13" s="7">
        <f>$B13 * IFERROR(VLOOKUP("LULUCF|SO2|Non-fatal heart attacks", US_national_yearly!$D:$AM, 27, FALSE) / VLOOKUP("LULUCF|SO2|Non-fatal heart attacks", US_national_yearly!$D:$AM, 10, FALSE), 1)</f>
        <v>3.1678290604030329E-3</v>
      </c>
      <c r="T13" s="7">
        <f>$B13 * IFERROR(VLOOKUP("LULUCF|SO2|Non-fatal heart attacks", US_national_yearly!$D:$AM, 28, FALSE) / VLOOKUP("LULUCF|SO2|Non-fatal heart attacks", US_national_yearly!$D:$AM, 10, FALSE), 1)</f>
        <v>3.1853683188384409E-3</v>
      </c>
      <c r="U13" s="7">
        <f>$B13 * IFERROR(VLOOKUP("LULUCF|SO2|Non-fatal heart attacks", US_national_yearly!$D:$AM, 29, FALSE) / VLOOKUP("LULUCF|SO2|Non-fatal heart attacks", US_national_yearly!$D:$AM, 10, FALSE), 1)</f>
        <v>3.202907577273849E-3</v>
      </c>
      <c r="V13" s="7">
        <f>$B13 * IFERROR(VLOOKUP("LULUCF|SO2|Non-fatal heart attacks", US_national_yearly!$D:$AM, 30, FALSE) / VLOOKUP("LULUCF|SO2|Non-fatal heart attacks", US_national_yearly!$D:$AM, 10, FALSE), 1)</f>
        <v>3.2204468357092566E-3</v>
      </c>
      <c r="W13" s="7">
        <f>$B13 * IFERROR(VLOOKUP("LULUCF|SO2|Non-fatal heart attacks", US_national_yearly!$D:$AM, 31, FALSE) / VLOOKUP("LULUCF|SO2|Non-fatal heart attacks", US_national_yearly!$D:$AM, 10, FALSE), 1)</f>
        <v>3.2379860941446656E-3</v>
      </c>
      <c r="X13" s="7">
        <f>$B13 * IFERROR(VLOOKUP("LULUCF|SO2|Non-fatal heart attacks", US_national_yearly!$D:$AM, 32, FALSE) / VLOOKUP("LULUCF|SO2|Non-fatal heart attacks", US_national_yearly!$D:$AM, 10, FALSE), 1)</f>
        <v>3.2512267000369163E-3</v>
      </c>
      <c r="Y13" s="7">
        <f>$B13 * IFERROR(VLOOKUP("LULUCF|SO2|Non-fatal heart attacks", US_national_yearly!$D:$AM, 33, FALSE) / VLOOKUP("LULUCF|SO2|Non-fatal heart attacks", US_national_yearly!$D:$AM, 10, FALSE), 1)</f>
        <v>3.264467305929167E-3</v>
      </c>
      <c r="Z13" s="7">
        <f>$B13 * IFERROR(VLOOKUP("LULUCF|SO2|Non-fatal heart attacks", US_national_yearly!$D:$AM, 34, FALSE) / VLOOKUP("LULUCF|SO2|Non-fatal heart attacks", US_national_yearly!$D:$AM, 10, FALSE), 1)</f>
        <v>3.2777079118214178E-3</v>
      </c>
      <c r="AA13" s="7">
        <f>$B13 * IFERROR(VLOOKUP("LULUCF|SO2|Non-fatal heart attacks", US_national_yearly!$D:$AM, 35, FALSE) / VLOOKUP("LULUCF|SO2|Non-fatal heart attacks", US_national_yearly!$D:$AM, 10, FALSE), 1)</f>
        <v>3.2909485177136689E-3</v>
      </c>
      <c r="AB13" s="7">
        <f>$B13 * IFERROR(VLOOKUP("LULUCF|SO2|Non-fatal heart attacks", US_national_yearly!$D:$AM, 36, FALSE) / VLOOKUP("LULUCF|SO2|Non-fatal heart attacks", US_national_yearly!$D:$AM, 10, FALSE), 1)</f>
        <v>3.3041891236059197E-3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1.2672188183844826</v>
      </c>
      <c r="C14" s="7">
        <f>$B14 * IFERROR(VLOOKUP("LULUCF|SO2|Minor restricted activity days", US_national_yearly!$D:$AM, 11, FALSE) / VLOOKUP("LULUCF|SO2|Minor restricted activity days", US_national_yearly!$D:$AM, 10, FALSE), 1)</f>
        <v>1.2704130547980488</v>
      </c>
      <c r="D14" s="7">
        <f>$B14 * IFERROR(VLOOKUP("LULUCF|SO2|Minor restricted activity days", US_national_yearly!$D:$AM, 12, FALSE) / VLOOKUP("LULUCF|SO2|Minor restricted activity days", US_national_yearly!$D:$AM, 10, FALSE), 1)</f>
        <v>1.2736072912116148</v>
      </c>
      <c r="E14" s="7">
        <f>$B14 * IFERROR(VLOOKUP("LULUCF|SO2|Minor restricted activity days", US_national_yearly!$D:$AM, 13, FALSE) / VLOOKUP("LULUCF|SO2|Minor restricted activity days", US_national_yearly!$D:$AM, 10, FALSE), 1)</f>
        <v>1.276801527625181</v>
      </c>
      <c r="F14" s="7">
        <f>$B14 * IFERROR(VLOOKUP("LULUCF|SO2|Minor restricted activity days", US_national_yearly!$D:$AM, 14, FALSE) / VLOOKUP("LULUCF|SO2|Minor restricted activity days", US_national_yearly!$D:$AM, 10, FALSE), 1)</f>
        <v>1.2799957640387467</v>
      </c>
      <c r="G14" s="7">
        <f>$B14 * IFERROR(VLOOKUP("LULUCF|SO2|Minor restricted activity days", US_national_yearly!$D:$AM, 15, FALSE) / VLOOKUP("LULUCF|SO2|Minor restricted activity days", US_national_yearly!$D:$AM, 10, FALSE), 1)</f>
        <v>1.2846973662359786</v>
      </c>
      <c r="H14" s="7">
        <f>$B14 * IFERROR(VLOOKUP("LULUCF|SO2|Minor restricted activity days", US_national_yearly!$D:$AM, 16, FALSE) / VLOOKUP("LULUCF|SO2|Minor restricted activity days", US_national_yearly!$D:$AM, 10, FALSE), 1)</f>
        <v>1.2893989684332103</v>
      </c>
      <c r="I14" s="7">
        <f>$B14 * IFERROR(VLOOKUP("LULUCF|SO2|Minor restricted activity days", US_national_yearly!$D:$AM, 17, FALSE) / VLOOKUP("LULUCF|SO2|Minor restricted activity days", US_national_yearly!$D:$AM, 10, FALSE), 1)</f>
        <v>1.2974171127399183</v>
      </c>
      <c r="J14" s="7">
        <f>$B14 * IFERROR(VLOOKUP("LULUCF|SO2|Minor restricted activity days", US_national_yearly!$D:$AM, 18, FALSE) / VLOOKUP("LULUCF|SO2|Minor restricted activity days", US_national_yearly!$D:$AM, 10, FALSE), 1)</f>
        <v>1.3054352570466266</v>
      </c>
      <c r="K14" s="7">
        <f>$B14 * IFERROR(VLOOKUP("LULUCF|SO2|Minor restricted activity days", US_national_yearly!$D:$AM, 19, FALSE) / VLOOKUP("LULUCF|SO2|Minor restricted activity days", US_national_yearly!$D:$AM, 10, FALSE), 1)</f>
        <v>1.313453401353335</v>
      </c>
      <c r="L14" s="7">
        <f>$B14 * IFERROR(VLOOKUP("LULUCF|SO2|Minor restricted activity days", US_national_yearly!$D:$AM, 20, FALSE) / VLOOKUP("LULUCF|SO2|Minor restricted activity days", US_national_yearly!$D:$AM, 10, FALSE), 1)</f>
        <v>1.3214715456600432</v>
      </c>
      <c r="M14" s="7">
        <f>$B14 * IFERROR(VLOOKUP("LULUCF|SO2|Minor restricted activity days", US_national_yearly!$D:$AM, 21, FALSE) / VLOOKUP("LULUCF|SO2|Minor restricted activity days", US_national_yearly!$D:$AM, 10, FALSE), 1)</f>
        <v>1.3294896899667514</v>
      </c>
      <c r="N14" s="7">
        <f>$B14 * IFERROR(VLOOKUP("LULUCF|SO2|Minor restricted activity days", US_national_yearly!$D:$AM, 22, FALSE) / VLOOKUP("LULUCF|SO2|Minor restricted activity days", US_national_yearly!$D:$AM, 10, FALSE), 1)</f>
        <v>1.3404572247950841</v>
      </c>
      <c r="O14" s="7">
        <f>$B14 * IFERROR(VLOOKUP("LULUCF|SO2|Minor restricted activity days", US_national_yearly!$D:$AM, 23, FALSE) / VLOOKUP("LULUCF|SO2|Minor restricted activity days", US_national_yearly!$D:$AM, 10, FALSE), 1)</f>
        <v>1.3514247596234168</v>
      </c>
      <c r="P14" s="7">
        <f>$B14 * IFERROR(VLOOKUP("LULUCF|SO2|Minor restricted activity days", US_national_yearly!$D:$AM, 24, FALSE) / VLOOKUP("LULUCF|SO2|Minor restricted activity days", US_national_yearly!$D:$AM, 10, FALSE), 1)</f>
        <v>1.3623922944517495</v>
      </c>
      <c r="Q14" s="7">
        <f>$B14 * IFERROR(VLOOKUP("LULUCF|SO2|Minor restricted activity days", US_national_yearly!$D:$AM, 25, FALSE) / VLOOKUP("LULUCF|SO2|Minor restricted activity days", US_national_yearly!$D:$AM, 10, FALSE), 1)</f>
        <v>1.3733598292800822</v>
      </c>
      <c r="R14" s="7">
        <f>$B14 * IFERROR(VLOOKUP("LULUCF|SO2|Minor restricted activity days", US_national_yearly!$D:$AM, 26, FALSE) / VLOOKUP("LULUCF|SO2|Minor restricted activity days", US_national_yearly!$D:$AM, 10, FALSE), 1)</f>
        <v>1.3843273641084148</v>
      </c>
      <c r="S14" s="7">
        <f>$B14 * IFERROR(VLOOKUP("LULUCF|SO2|Minor restricted activity days", US_national_yearly!$D:$AM, 27, FALSE) / VLOOKUP("LULUCF|SO2|Minor restricted activity days", US_national_yearly!$D:$AM, 10, FALSE), 1)</f>
        <v>1.3955098393015801</v>
      </c>
      <c r="T14" s="7">
        <f>$B14 * IFERROR(VLOOKUP("LULUCF|SO2|Minor restricted activity days", US_national_yearly!$D:$AM, 28, FALSE) / VLOOKUP("LULUCF|SO2|Minor restricted activity days", US_national_yearly!$D:$AM, 10, FALSE), 1)</f>
        <v>1.4066923144947452</v>
      </c>
      <c r="U14" s="7">
        <f>$B14 * IFERROR(VLOOKUP("LULUCF|SO2|Minor restricted activity days", US_national_yearly!$D:$AM, 29, FALSE) / VLOOKUP("LULUCF|SO2|Minor restricted activity days", US_national_yearly!$D:$AM, 10, FALSE), 1)</f>
        <v>1.4178747896879103</v>
      </c>
      <c r="V14" s="7">
        <f>$B14 * IFERROR(VLOOKUP("LULUCF|SO2|Minor restricted activity days", US_national_yearly!$D:$AM, 30, FALSE) / VLOOKUP("LULUCF|SO2|Minor restricted activity days", US_national_yearly!$D:$AM, 10, FALSE), 1)</f>
        <v>1.4290572648810753</v>
      </c>
      <c r="W14" s="7">
        <f>$B14 * IFERROR(VLOOKUP("LULUCF|SO2|Minor restricted activity days", US_national_yearly!$D:$AM, 31, FALSE) / VLOOKUP("LULUCF|SO2|Minor restricted activity days", US_national_yearly!$D:$AM, 10, FALSE), 1)</f>
        <v>1.4402397400742406</v>
      </c>
      <c r="X14" s="7">
        <f>$B14 * IFERROR(VLOOKUP("LULUCF|SO2|Minor restricted activity days", US_national_yearly!$D:$AM, 32, FALSE) / VLOOKUP("LULUCF|SO2|Minor restricted activity days", US_national_yearly!$D:$AM, 10, FALSE), 1)</f>
        <v>1.4500738358884167</v>
      </c>
      <c r="Y14" s="7">
        <f>$B14 * IFERROR(VLOOKUP("LULUCF|SO2|Minor restricted activity days", US_national_yearly!$D:$AM, 33, FALSE) / VLOOKUP("LULUCF|SO2|Minor restricted activity days", US_national_yearly!$D:$AM, 10, FALSE), 1)</f>
        <v>1.4599079317025927</v>
      </c>
      <c r="Z14" s="7">
        <f>$B14 * IFERROR(VLOOKUP("LULUCF|SO2|Minor restricted activity days", US_national_yearly!$D:$AM, 34, FALSE) / VLOOKUP("LULUCF|SO2|Minor restricted activity days", US_national_yearly!$D:$AM, 10, FALSE), 1)</f>
        <v>1.469742027516769</v>
      </c>
      <c r="AA14" s="7">
        <f>$B14 * IFERROR(VLOOKUP("LULUCF|SO2|Minor restricted activity days", US_national_yearly!$D:$AM, 35, FALSE) / VLOOKUP("LULUCF|SO2|Minor restricted activity days", US_national_yearly!$D:$AM, 10, FALSE), 1)</f>
        <v>1.479576123330945</v>
      </c>
      <c r="AB14" s="7">
        <f>$B14 * IFERROR(VLOOKUP("LULUCF|SO2|Minor restricted activity days", US_national_yearly!$D:$AM, 36, FALSE) / VLOOKUP("LULUCF|SO2|Minor restricted activity days", US_national_yearly!$D:$AM, 10, FALSE), 1)</f>
        <v>1.4894102191451213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0.21420056483431907</v>
      </c>
      <c r="C15" s="7">
        <f>$B15 * IFERROR(VLOOKUP("LULUCF|SO2|Work loss days", US_national_yearly!$D:$AM, 11, FALSE) / VLOOKUP("LULUCF|SO2|Work loss days", US_national_yearly!$D:$AM, 10, FALSE), 1)</f>
        <v>0.21489454062021385</v>
      </c>
      <c r="D15" s="7">
        <f>$B15 * IFERROR(VLOOKUP("LULUCF|SO2|Work loss days", US_national_yearly!$D:$AM, 12, FALSE) / VLOOKUP("LULUCF|SO2|Work loss days", US_national_yearly!$D:$AM, 10, FALSE), 1)</f>
        <v>0.21558851640610863</v>
      </c>
      <c r="E15" s="7">
        <f>$B15 * IFERROR(VLOOKUP("LULUCF|SO2|Work loss days", US_national_yearly!$D:$AM, 13, FALSE) / VLOOKUP("LULUCF|SO2|Work loss days", US_national_yearly!$D:$AM, 10, FALSE), 1)</f>
        <v>0.21628249219200341</v>
      </c>
      <c r="F15" s="7">
        <f>$B15 * IFERROR(VLOOKUP("LULUCF|SO2|Work loss days", US_national_yearly!$D:$AM, 14, FALSE) / VLOOKUP("LULUCF|SO2|Work loss days", US_national_yearly!$D:$AM, 10, FALSE), 1)</f>
        <v>0.21697646797789819</v>
      </c>
      <c r="G15" s="7">
        <f>$B15 * IFERROR(VLOOKUP("LULUCF|SO2|Work loss days", US_national_yearly!$D:$AM, 15, FALSE) / VLOOKUP("LULUCF|SO2|Work loss days", US_national_yearly!$D:$AM, 10, FALSE), 1)</f>
        <v>0.21788323225553441</v>
      </c>
      <c r="H15" s="7">
        <f>$B15 * IFERROR(VLOOKUP("LULUCF|SO2|Work loss days", US_national_yearly!$D:$AM, 16, FALSE) / VLOOKUP("LULUCF|SO2|Work loss days", US_national_yearly!$D:$AM, 10, FALSE), 1)</f>
        <v>0.21878999653317058</v>
      </c>
      <c r="I15" s="7">
        <f>$B15 * IFERROR(VLOOKUP("LULUCF|SO2|Work loss days", US_national_yearly!$D:$AM, 17, FALSE) / VLOOKUP("LULUCF|SO2|Work loss days", US_national_yearly!$D:$AM, 10, FALSE), 1)</f>
        <v>0.22011647094702982</v>
      </c>
      <c r="J15" s="7">
        <f>$B15 * IFERROR(VLOOKUP("LULUCF|SO2|Work loss days", US_national_yearly!$D:$AM, 18, FALSE) / VLOOKUP("LULUCF|SO2|Work loss days", US_national_yearly!$D:$AM, 10, FALSE), 1)</f>
        <v>0.22144294536088902</v>
      </c>
      <c r="K15" s="7">
        <f>$B15 * IFERROR(VLOOKUP("LULUCF|SO2|Work loss days", US_national_yearly!$D:$AM, 19, FALSE) / VLOOKUP("LULUCF|SO2|Work loss days", US_national_yearly!$D:$AM, 10, FALSE), 1)</f>
        <v>0.22276941977474826</v>
      </c>
      <c r="L15" s="7">
        <f>$B15 * IFERROR(VLOOKUP("LULUCF|SO2|Work loss days", US_national_yearly!$D:$AM, 20, FALSE) / VLOOKUP("LULUCF|SO2|Work loss days", US_national_yearly!$D:$AM, 10, FALSE), 1)</f>
        <v>0.22409589418860751</v>
      </c>
      <c r="M15" s="7">
        <f>$B15 * IFERROR(VLOOKUP("LULUCF|SO2|Work loss days", US_national_yearly!$D:$AM, 21, FALSE) / VLOOKUP("LULUCF|SO2|Work loss days", US_national_yearly!$D:$AM, 10, FALSE), 1)</f>
        <v>0.22542236860246676</v>
      </c>
      <c r="N15" s="7">
        <f>$B15 * IFERROR(VLOOKUP("LULUCF|SO2|Work loss days", US_national_yearly!$D:$AM, 22, FALSE) / VLOOKUP("LULUCF|SO2|Work loss days", US_national_yearly!$D:$AM, 10, FALSE), 1)</f>
        <v>0.22708555256150056</v>
      </c>
      <c r="O15" s="7">
        <f>$B15 * IFERROR(VLOOKUP("LULUCF|SO2|Work loss days", US_national_yearly!$D:$AM, 23, FALSE) / VLOOKUP("LULUCF|SO2|Work loss days", US_national_yearly!$D:$AM, 10, FALSE), 1)</f>
        <v>0.22874873652053437</v>
      </c>
      <c r="P15" s="7">
        <f>$B15 * IFERROR(VLOOKUP("LULUCF|SO2|Work loss days", US_national_yearly!$D:$AM, 24, FALSE) / VLOOKUP("LULUCF|SO2|Work loss days", US_national_yearly!$D:$AM, 10, FALSE), 1)</f>
        <v>0.23041192047956816</v>
      </c>
      <c r="Q15" s="7">
        <f>$B15 * IFERROR(VLOOKUP("LULUCF|SO2|Work loss days", US_national_yearly!$D:$AM, 25, FALSE) / VLOOKUP("LULUCF|SO2|Work loss days", US_national_yearly!$D:$AM, 10, FALSE), 1)</f>
        <v>0.23207510443860196</v>
      </c>
      <c r="R15" s="7">
        <f>$B15 * IFERROR(VLOOKUP("LULUCF|SO2|Work loss days", US_national_yearly!$D:$AM, 26, FALSE) / VLOOKUP("LULUCF|SO2|Work loss days", US_national_yearly!$D:$AM, 10, FALSE), 1)</f>
        <v>0.23373828839763577</v>
      </c>
      <c r="S15" s="7">
        <f>$B15 * IFERROR(VLOOKUP("LULUCF|SO2|Work loss days", US_national_yearly!$D:$AM, 27, FALSE) / VLOOKUP("LULUCF|SO2|Work loss days", US_national_yearly!$D:$AM, 10, FALSE), 1)</f>
        <v>0.23559689098840858</v>
      </c>
      <c r="T15" s="7">
        <f>$B15 * IFERROR(VLOOKUP("LULUCF|SO2|Work loss days", US_national_yearly!$D:$AM, 28, FALSE) / VLOOKUP("LULUCF|SO2|Work loss days", US_national_yearly!$D:$AM, 10, FALSE), 1)</f>
        <v>0.23745549357918141</v>
      </c>
      <c r="U15" s="7">
        <f>$B15 * IFERROR(VLOOKUP("LULUCF|SO2|Work loss days", US_national_yearly!$D:$AM, 29, FALSE) / VLOOKUP("LULUCF|SO2|Work loss days", US_national_yearly!$D:$AM, 10, FALSE), 1)</f>
        <v>0.23931409616995422</v>
      </c>
      <c r="V15" s="7">
        <f>$B15 * IFERROR(VLOOKUP("LULUCF|SO2|Work loss days", US_national_yearly!$D:$AM, 30, FALSE) / VLOOKUP("LULUCF|SO2|Work loss days", US_national_yearly!$D:$AM, 10, FALSE), 1)</f>
        <v>0.24117269876072703</v>
      </c>
      <c r="W15" s="7">
        <f>$B15 * IFERROR(VLOOKUP("LULUCF|SO2|Work loss days", US_national_yearly!$D:$AM, 31, FALSE) / VLOOKUP("LULUCF|SO2|Work loss days", US_national_yearly!$D:$AM, 10, FALSE), 1)</f>
        <v>0.24303130135149986</v>
      </c>
      <c r="X15" s="7">
        <f>$B15 * IFERROR(VLOOKUP("LULUCF|SO2|Work loss days", US_national_yearly!$D:$AM, 32, FALSE) / VLOOKUP("LULUCF|SO2|Work loss days", US_national_yearly!$D:$AM, 10, FALSE), 1)</f>
        <v>0.2447000702945234</v>
      </c>
      <c r="Y15" s="7">
        <f>$B15 * IFERROR(VLOOKUP("LULUCF|SO2|Work loss days", US_national_yearly!$D:$AM, 33, FALSE) / VLOOKUP("LULUCF|SO2|Work loss days", US_national_yearly!$D:$AM, 10, FALSE), 1)</f>
        <v>0.24636883923754699</v>
      </c>
      <c r="Z15" s="7">
        <f>$B15 * IFERROR(VLOOKUP("LULUCF|SO2|Work loss days", US_national_yearly!$D:$AM, 34, FALSE) / VLOOKUP("LULUCF|SO2|Work loss days", US_national_yearly!$D:$AM, 10, FALSE), 1)</f>
        <v>0.24803760818057058</v>
      </c>
      <c r="AA15" s="7">
        <f>$B15 * IFERROR(VLOOKUP("LULUCF|SO2|Work loss days", US_national_yearly!$D:$AM, 35, FALSE) / VLOOKUP("LULUCF|SO2|Work loss days", US_national_yearly!$D:$AM, 10, FALSE), 1)</f>
        <v>0.24970637712359417</v>
      </c>
      <c r="AB15" s="7">
        <f>$B15 * IFERROR(VLOOKUP("LULUCF|SO2|Work loss days", US_national_yearly!$D:$AM, 36, FALSE) / VLOOKUP("LULUCF|SO2|Work loss days", US_national_yearly!$D:$AM, 10, FALSE), 1)</f>
        <v>0.25137514606661776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5.9302025950977867E-4</v>
      </c>
      <c r="C17" s="7">
        <f>$B17 * IFERROR(VLOOKUP("LULUCF|SO2|Cardiovascular hospital admissions", US_national_yearly!$D:$AM, 11, FALSE) / VLOOKUP("LULUCF|SO2|Cardiovascular hospital admissions", US_national_yearly!$D:$AM, 10, FALSE), 1)</f>
        <v>6.1095546308204693E-4</v>
      </c>
      <c r="D17" s="7">
        <f>$B17 * IFERROR(VLOOKUP("LULUCF|SO2|Cardiovascular hospital admissions", US_national_yearly!$D:$AM, 12, FALSE) / VLOOKUP("LULUCF|SO2|Cardiovascular hospital admissions", US_national_yearly!$D:$AM, 10, FALSE), 1)</f>
        <v>6.288906666543152E-4</v>
      </c>
      <c r="E17" s="7">
        <f>$B17 * IFERROR(VLOOKUP("LULUCF|SO2|Cardiovascular hospital admissions", US_national_yearly!$D:$AM, 13, FALSE) / VLOOKUP("LULUCF|SO2|Cardiovascular hospital admissions", US_national_yearly!$D:$AM, 10, FALSE), 1)</f>
        <v>6.4682587022658357E-4</v>
      </c>
      <c r="F17" s="7">
        <f>$B17 * IFERROR(VLOOKUP("LULUCF|SO2|Cardiovascular hospital admissions", US_national_yearly!$D:$AM, 14, FALSE) / VLOOKUP("LULUCF|SO2|Cardiovascular hospital admissions", US_national_yearly!$D:$AM, 10, FALSE), 1)</f>
        <v>6.6476107379885194E-4</v>
      </c>
      <c r="G17" s="7">
        <f>$B17 * IFERROR(VLOOKUP("LULUCF|SO2|Cardiovascular hospital admissions", US_national_yearly!$D:$AM, 15, FALSE) / VLOOKUP("LULUCF|SO2|Cardiovascular hospital admissions", US_national_yearly!$D:$AM, 10, FALSE), 1)</f>
        <v>6.8194129344978361E-4</v>
      </c>
      <c r="H17" s="7">
        <f>$B17 * IFERROR(VLOOKUP("LULUCF|SO2|Cardiovascular hospital admissions", US_national_yearly!$D:$AM, 16, FALSE) / VLOOKUP("LULUCF|SO2|Cardiovascular hospital admissions", US_national_yearly!$D:$AM, 10, FALSE), 1)</f>
        <v>6.9912151310071538E-4</v>
      </c>
      <c r="I17" s="7">
        <f>$B17 * IFERROR(VLOOKUP("LULUCF|SO2|Cardiovascular hospital admissions", US_national_yearly!$D:$AM, 17, FALSE) / VLOOKUP("LULUCF|SO2|Cardiovascular hospital admissions", US_national_yearly!$D:$AM, 10, FALSE), 1)</f>
        <v>7.1384160865096654E-4</v>
      </c>
      <c r="J17" s="7">
        <f>$B17 * IFERROR(VLOOKUP("LULUCF|SO2|Cardiovascular hospital admissions", US_national_yearly!$D:$AM, 18, FALSE) / VLOOKUP("LULUCF|SO2|Cardiovascular hospital admissions", US_national_yearly!$D:$AM, 10, FALSE), 1)</f>
        <v>7.285617042012177E-4</v>
      </c>
      <c r="K17" s="7">
        <f>$B17 * IFERROR(VLOOKUP("LULUCF|SO2|Cardiovascular hospital admissions", US_national_yearly!$D:$AM, 19, FALSE) / VLOOKUP("LULUCF|SO2|Cardiovascular hospital admissions", US_national_yearly!$D:$AM, 10, FALSE), 1)</f>
        <v>7.4328179975146887E-4</v>
      </c>
      <c r="L17" s="7">
        <f>$B17 * IFERROR(VLOOKUP("LULUCF|SO2|Cardiovascular hospital admissions", US_national_yearly!$D:$AM, 20, FALSE) / VLOOKUP("LULUCF|SO2|Cardiovascular hospital admissions", US_national_yearly!$D:$AM, 10, FALSE), 1)</f>
        <v>7.5800189530172003E-4</v>
      </c>
      <c r="M17" s="7">
        <f>$B17 * IFERROR(VLOOKUP("LULUCF|SO2|Cardiovascular hospital admissions", US_national_yearly!$D:$AM, 21, FALSE) / VLOOKUP("LULUCF|SO2|Cardiovascular hospital admissions", US_national_yearly!$D:$AM, 10, FALSE), 1)</f>
        <v>7.7272199085197109E-4</v>
      </c>
      <c r="N17" s="7">
        <f>$B17 * IFERROR(VLOOKUP("LULUCF|SO2|Cardiovascular hospital admissions", US_national_yearly!$D:$AM, 22, FALSE) / VLOOKUP("LULUCF|SO2|Cardiovascular hospital admissions", US_national_yearly!$D:$AM, 10, FALSE), 1)</f>
        <v>7.826105419745375E-4</v>
      </c>
      <c r="O17" s="7">
        <f>$B17 * IFERROR(VLOOKUP("LULUCF|SO2|Cardiovascular hospital admissions", US_national_yearly!$D:$AM, 23, FALSE) / VLOOKUP("LULUCF|SO2|Cardiovascular hospital admissions", US_national_yearly!$D:$AM, 10, FALSE), 1)</f>
        <v>7.9249909309710381E-4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8.0238764421967012E-4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8.1227619534223643E-4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8.2216474646480296E-4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8.2736542028977525E-4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8.3256609411474765E-4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8.3776676793972005E-4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8.4296744176469234E-4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8.4816811558966474E-4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8.5165949984951036E-4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8.5515088410935598E-4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8.5864226836920171E-4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8.6213365262904744E-4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8.6562503688889295E-4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2026-06-15T17:14:45Z</dcterms:modified>
</cp:coreProperties>
</file>