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FA8DE7D7-E739-4CEA-9FF5-D017E6529939}"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Y45" i="9" s="1"/>
  <c r="X25" i="9"/>
  <c r="W25" i="9"/>
  <c r="V25" i="9"/>
  <c r="U25" i="9"/>
  <c r="T25" i="9"/>
  <c r="S25" i="9"/>
  <c r="R25" i="9"/>
  <c r="Q25" i="9"/>
  <c r="P25" i="9"/>
  <c r="O25" i="9"/>
  <c r="N25" i="9"/>
  <c r="M25" i="9"/>
  <c r="L25" i="9"/>
  <c r="K25" i="9"/>
  <c r="J25" i="9"/>
  <c r="I25" i="9"/>
  <c r="H25" i="9"/>
  <c r="G25" i="9"/>
  <c r="F25" i="9"/>
  <c r="F45" i="9" s="1"/>
  <c r="E25" i="9"/>
  <c r="E45" i="9" s="1"/>
  <c r="D25" i="9"/>
  <c r="D45" i="9" s="1"/>
  <c r="C25" i="9"/>
  <c r="C45" i="9" s="1"/>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H40" i="9" s="1"/>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M15" i="9" l="1"/>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AA61" i="9" s="1"/>
  <c r="AA5" i="11" s="1"/>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S51" i="9" s="1"/>
  <c r="S5" i="10" s="1"/>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C50" i="9" s="1"/>
  <c r="F10" i="9"/>
  <c r="F11" i="9"/>
  <c r="D55" i="9" s="1"/>
  <c r="D9" i="10" s="1"/>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G53" i="9" s="1"/>
  <c r="G7" i="10" s="1"/>
  <c r="N15" i="9"/>
  <c r="O15" i="9"/>
  <c r="P15" i="9"/>
  <c r="F5" i="9"/>
  <c r="G49" i="9" s="1"/>
  <c r="G3" i="10" s="1"/>
  <c r="G51" i="9" l="1"/>
  <c r="G5" i="10" s="1"/>
  <c r="Y55" i="9"/>
  <c r="Y9" i="10" s="1"/>
  <c r="L48" i="9"/>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B64" i="9"/>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Z49" i="9"/>
  <c r="Z3" i="10" s="1"/>
  <c r="C64" i="9"/>
  <c r="C8" i="11" s="1"/>
  <c r="K61" i="9"/>
  <c r="K5" i="11" s="1"/>
  <c r="Q64" i="9"/>
  <c r="S48" i="9"/>
  <c r="S2" i="10" s="1"/>
  <c r="T49" i="9"/>
  <c r="T3" i="10" s="1"/>
  <c r="S58" i="9"/>
  <c r="S71" i="9" s="1"/>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V73" i="9" s="1"/>
  <c r="AB51" i="9"/>
  <c r="AB5" i="10" s="1"/>
  <c r="W65" i="9"/>
  <c r="W9" i="11" s="1"/>
  <c r="Q50" i="9"/>
  <c r="Q4" i="10" s="1"/>
  <c r="Z61" i="9"/>
  <c r="Z5" i="11" s="1"/>
  <c r="J64" i="9"/>
  <c r="J73" i="9" s="1"/>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I4" i="11"/>
  <c r="S62" i="9"/>
  <c r="S6" i="11" s="1"/>
  <c r="AB62" i="9"/>
  <c r="AB6" i="11" s="1"/>
  <c r="AA49" i="9"/>
  <c r="AA3" i="10" s="1"/>
  <c r="H53" i="9"/>
  <c r="H7" i="10" s="1"/>
  <c r="R62" i="9"/>
  <c r="R6" i="11" s="1"/>
  <c r="AA4" i="11"/>
  <c r="AB49" i="9"/>
  <c r="AB3" i="10" s="1"/>
  <c r="S52" i="9"/>
  <c r="S6" i="10" s="1"/>
  <c r="L2" i="10"/>
  <c r="G62" i="9"/>
  <c r="G6" i="11" s="1"/>
  <c r="Z62" i="9"/>
  <c r="Z6" i="11" s="1"/>
  <c r="O4" i="10"/>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B8" i="11"/>
  <c r="D62" i="9"/>
  <c r="D6" i="11" s="1"/>
  <c r="D8" i="11"/>
  <c r="Q62" i="9"/>
  <c r="Q6" i="11" s="1"/>
  <c r="M62" i="9"/>
  <c r="M6" i="11" s="1"/>
  <c r="V2" i="1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2" i="10"/>
  <c r="Z68" i="9"/>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AA2" i="11"/>
  <c r="P63" i="9"/>
  <c r="P7" i="11" s="1"/>
  <c r="S53" i="9"/>
  <c r="S7" i="10" s="1"/>
  <c r="W52" i="9"/>
  <c r="W6" i="10" s="1"/>
  <c r="O59" i="9"/>
  <c r="O3" i="11" s="1"/>
  <c r="R68" i="9" l="1"/>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<sst xmlns="http://schemas.openxmlformats.org/spreadsheetml/2006/main" count="5677" uniqueCount="335">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</sst>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66</v>
      </c>
    </row>
    <row r="2" spans="1:2" x14ac:dyDescent="0.25">
      <c r="A2" s="3" t="s">
        <v>2</v>
      </c>
      <c r="B2" s="4" t="str">
        <f>IFERROR(INDEX(Geography!B:B, MATCH($B$1, Geography!C:C, 0)), "")</f>
        <v>FL</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11491451</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23372215</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0.99175701356723633</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11880764</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23372215</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1.0081042955441315</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17857063</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23372215</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1.0167103816710668</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3949147</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23372215</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1.2368478209322176</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792771</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23372215</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0.52530654278247213</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773234</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23372215</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0.69876360424969497</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6707753</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23372215</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1.4707254181189344</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16664462</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23372215</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0.88587186386132444</v>
      </c>
    </row>
    <row r="12" spans="1:28" x14ac:dyDescent="0.25">
      <c r="A12" s="4" t="s">
        <v>319</v>
      </c>
    </row>
    <row r="13" spans="1:28" x14ac:dyDescent="0.25">
      <c r="A13" s="4" t="s">
        <v>320</v>
      </c>
      <c r="B13" s="37">
        <f>INDEX(Census_pop_2020_2025!G:G, MATCH("."&amp;About!$B$1, Census_pop_2020_2025!A:A, 0))</f>
        <v>23265838</v>
      </c>
      <c r="C13" s="37">
        <f>INDEX(Census_pop_2020_2025!H:H, MATCH("."&amp;About!$B$1, Census_pop_2020_2025!A:A, 0))</f>
        <v>23462518</v>
      </c>
      <c r="D13" s="37">
        <f>INDEX(Census_pop_2020_2025!H:H, MATCH("."&amp;About!$B$1, Census_pop_2020_2025!A:A, 0))+0.2*(INDEX(Cooper_pop_2030_2050!D:D, MATCH(About!$B$1, Cooper_pop_2030_2050!B:B, 0))-INDEX(Census_pop_2020_2025!H:H, MATCH("."&amp;About!$B$1, Census_pop_2020_2025!A:A, 0)))</f>
        <v>23528023.63619883</v>
      </c>
      <c r="E13" s="37">
        <f>INDEX(Census_pop_2020_2025!H:H, MATCH("."&amp;About!$B$1, Census_pop_2020_2025!A:A, 0))+0.4*(INDEX(Cooper_pop_2030_2050!D:D, MATCH(About!$B$1, Cooper_pop_2030_2050!B:B, 0))-INDEX(Census_pop_2020_2025!H:H, MATCH("."&amp;About!$B$1, Census_pop_2020_2025!A:A, 0)))</f>
        <v>23593529.27239766</v>
      </c>
      <c r="F13" s="37">
        <f>INDEX(Census_pop_2020_2025!H:H, MATCH("."&amp;About!$B$1, Census_pop_2020_2025!A:A, 0))+0.6*(INDEX(Cooper_pop_2030_2050!D:D, MATCH(About!$B$1, Cooper_pop_2030_2050!B:B, 0))-INDEX(Census_pop_2020_2025!H:H, MATCH("."&amp;About!$B$1, Census_pop_2020_2025!A:A, 0)))</f>
        <v>23659034.90859649</v>
      </c>
      <c r="G13" s="37">
        <f>INDEX(Census_pop_2020_2025!H:H, MATCH("."&amp;About!$B$1, Census_pop_2020_2025!A:A, 0))+0.8*(INDEX(Cooper_pop_2030_2050!D:D, MATCH(About!$B$1, Cooper_pop_2030_2050!B:B, 0))-INDEX(Census_pop_2020_2025!H:H, MATCH("."&amp;About!$B$1, Census_pop_2020_2025!A:A, 0)))</f>
        <v>23724540.544795319</v>
      </c>
      <c r="H13" s="37">
        <f>INDEX(Cooper_pop_2030_2050!D:D, MATCH(About!$B$1, Cooper_pop_2030_2050!B:B, 0))</f>
        <v>23790046.180994149</v>
      </c>
      <c r="I13" s="37">
        <f>INDEX(Cooper_pop_2030_2050!D:D, MATCH(About!$B$1, Cooper_pop_2030_2050!B:B, 0))+0.1*(INDEX(Cooper_pop_2030_2050!E:E, MATCH(About!$B$1, Cooper_pop_2030_2050!B:B, 0))-INDEX(Cooper_pop_2030_2050!D:D, MATCH(About!$B$1, Cooper_pop_2030_2050!B:B, 0)))</f>
        <v>24031289.835240934</v>
      </c>
      <c r="J13" s="37">
        <f>INDEX(Cooper_pop_2030_2050!D:D, MATCH(About!$B$1, Cooper_pop_2030_2050!B:B, 0))+0.2*(INDEX(Cooper_pop_2030_2050!E:E, MATCH(About!$B$1, Cooper_pop_2030_2050!B:B, 0))-INDEX(Cooper_pop_2030_2050!D:D, MATCH(About!$B$1, Cooper_pop_2030_2050!B:B, 0)))</f>
        <v>24272533.489487719</v>
      </c>
      <c r="K13" s="37">
        <f>INDEX(Cooper_pop_2030_2050!D:D, MATCH(About!$B$1, Cooper_pop_2030_2050!B:B, 0))+0.3*(INDEX(Cooper_pop_2030_2050!E:E, MATCH(About!$B$1, Cooper_pop_2030_2050!B:B, 0))-INDEX(Cooper_pop_2030_2050!D:D, MATCH(About!$B$1, Cooper_pop_2030_2050!B:B, 0)))</f>
        <v>24513777.1437345</v>
      </c>
      <c r="L13" s="37">
        <f>INDEX(Cooper_pop_2030_2050!D:D, MATCH(About!$B$1, Cooper_pop_2030_2050!B:B, 0))+0.4*(INDEX(Cooper_pop_2030_2050!E:E, MATCH(About!$B$1, Cooper_pop_2030_2050!B:B, 0))-INDEX(Cooper_pop_2030_2050!D:D, MATCH(About!$B$1, Cooper_pop_2030_2050!B:B, 0)))</f>
        <v>24755020.797981285</v>
      </c>
      <c r="M13" s="37">
        <f>INDEX(Cooper_pop_2030_2050!D:D, MATCH(About!$B$1, Cooper_pop_2030_2050!B:B, 0))+0.5*(INDEX(Cooper_pop_2030_2050!E:E, MATCH(About!$B$1, Cooper_pop_2030_2050!B:B, 0))-INDEX(Cooper_pop_2030_2050!D:D, MATCH(About!$B$1, Cooper_pop_2030_2050!B:B, 0)))</f>
        <v>24996264.452228069</v>
      </c>
      <c r="N13" s="37">
        <f>INDEX(Cooper_pop_2030_2050!D:D, MATCH(About!$B$1, Cooper_pop_2030_2050!B:B, 0))+0.6*(INDEX(Cooper_pop_2030_2050!E:E, MATCH(About!$B$1, Cooper_pop_2030_2050!B:B, 0))-INDEX(Cooper_pop_2030_2050!D:D, MATCH(About!$B$1, Cooper_pop_2030_2050!B:B, 0)))</f>
        <v>25237508.106474854</v>
      </c>
      <c r="O13" s="37">
        <f>INDEX(Cooper_pop_2030_2050!D:D, MATCH(About!$B$1, Cooper_pop_2030_2050!B:B, 0))+0.7*(INDEX(Cooper_pop_2030_2050!E:E, MATCH(About!$B$1, Cooper_pop_2030_2050!B:B, 0))-INDEX(Cooper_pop_2030_2050!D:D, MATCH(About!$B$1, Cooper_pop_2030_2050!B:B, 0)))</f>
        <v>25478751.760721639</v>
      </c>
      <c r="P13" s="37">
        <f>INDEX(Cooper_pop_2030_2050!D:D, MATCH(About!$B$1, Cooper_pop_2030_2050!B:B, 0))+0.8*(INDEX(Cooper_pop_2030_2050!E:E, MATCH(About!$B$1, Cooper_pop_2030_2050!B:B, 0))-INDEX(Cooper_pop_2030_2050!D:D, MATCH(About!$B$1, Cooper_pop_2030_2050!B:B, 0)))</f>
        <v>25719995.41496842</v>
      </c>
      <c r="Q13" s="37">
        <f>INDEX(Cooper_pop_2030_2050!D:D, MATCH(About!$B$1, Cooper_pop_2030_2050!B:B, 0))+0.9*(INDEX(Cooper_pop_2030_2050!E:E, MATCH(About!$B$1, Cooper_pop_2030_2050!B:B, 0))-INDEX(Cooper_pop_2030_2050!D:D, MATCH(About!$B$1, Cooper_pop_2030_2050!B:B, 0)))</f>
        <v>25961239.069215205</v>
      </c>
      <c r="R13" s="37">
        <f>INDEX(Cooper_pop_2030_2050!E:E, MATCH(About!$B$1, Cooper_pop_2030_2050!B:B, 0))</f>
        <v>26202482.723461989</v>
      </c>
      <c r="S13" s="37">
        <f>INDEX(Cooper_pop_2030_2050!E:E, MATCH(About!$B$1, Cooper_pop_2030_2050!B:B, 0))+0.1*(INDEX(Cooper_pop_2030_2050!F:F, MATCH(About!$B$1, Cooper_pop_2030_2050!B:B, 0))-INDEX(Cooper_pop_2030_2050!E:E, MATCH(About!$B$1, Cooper_pop_2030_2050!B:B, 0)))</f>
        <v>26434372.433016606</v>
      </c>
      <c r="T13" s="37">
        <f>INDEX(Cooper_pop_2030_2050!E:E, MATCH(About!$B$1, Cooper_pop_2030_2050!B:B, 0))+0.2*(INDEX(Cooper_pop_2030_2050!F:F, MATCH(About!$B$1, Cooper_pop_2030_2050!B:B, 0))-INDEX(Cooper_pop_2030_2050!E:E, MATCH(About!$B$1, Cooper_pop_2030_2050!B:B, 0)))</f>
        <v>26666262.142571226</v>
      </c>
      <c r="U13" s="37">
        <f>INDEX(Cooper_pop_2030_2050!E:E, MATCH(About!$B$1, Cooper_pop_2030_2050!B:B, 0))+0.3*(INDEX(Cooper_pop_2030_2050!F:F, MATCH(About!$B$1, Cooper_pop_2030_2050!B:B, 0))-INDEX(Cooper_pop_2030_2050!E:E, MATCH(About!$B$1, Cooper_pop_2030_2050!B:B, 0)))</f>
        <v>26898151.852125846</v>
      </c>
      <c r="V13" s="37">
        <f>INDEX(Cooper_pop_2030_2050!E:E, MATCH(About!$B$1, Cooper_pop_2030_2050!B:B, 0))+0.4*(INDEX(Cooper_pop_2030_2050!F:F, MATCH(About!$B$1, Cooper_pop_2030_2050!B:B, 0))-INDEX(Cooper_pop_2030_2050!E:E, MATCH(About!$B$1, Cooper_pop_2030_2050!B:B, 0)))</f>
        <v>27130041.561680462</v>
      </c>
      <c r="W13" s="37">
        <f>INDEX(Cooper_pop_2030_2050!E:E, MATCH(About!$B$1, Cooper_pop_2030_2050!B:B, 0))+0.5*(INDEX(Cooper_pop_2030_2050!F:F, MATCH(About!$B$1, Cooper_pop_2030_2050!B:B, 0))-INDEX(Cooper_pop_2030_2050!E:E, MATCH(About!$B$1, Cooper_pop_2030_2050!B:B, 0)))</f>
        <v>27361931.271235079</v>
      </c>
      <c r="X13" s="37">
        <f>INDEX(Cooper_pop_2030_2050!E:E, MATCH(About!$B$1, Cooper_pop_2030_2050!B:B, 0))+0.6*(INDEX(Cooper_pop_2030_2050!F:F, MATCH(About!$B$1, Cooper_pop_2030_2050!B:B, 0))-INDEX(Cooper_pop_2030_2050!E:E, MATCH(About!$B$1, Cooper_pop_2030_2050!B:B, 0)))</f>
        <v>27593820.980789699</v>
      </c>
      <c r="Y13" s="37">
        <f>INDEX(Cooper_pop_2030_2050!E:E, MATCH(About!$B$1, Cooper_pop_2030_2050!B:B, 0))+0.7*(INDEX(Cooper_pop_2030_2050!F:F, MATCH(About!$B$1, Cooper_pop_2030_2050!B:B, 0))-INDEX(Cooper_pop_2030_2050!E:E, MATCH(About!$B$1, Cooper_pop_2030_2050!B:B, 0)))</f>
        <v>27825710.690344319</v>
      </c>
      <c r="Z13" s="37">
        <f>INDEX(Cooper_pop_2030_2050!E:E, MATCH(About!$B$1, Cooper_pop_2030_2050!B:B, 0))+0.8*(INDEX(Cooper_pop_2030_2050!F:F, MATCH(About!$B$1, Cooper_pop_2030_2050!B:B, 0))-INDEX(Cooper_pop_2030_2050!E:E, MATCH(About!$B$1, Cooper_pop_2030_2050!B:B, 0)))</f>
        <v>28057600.399898935</v>
      </c>
      <c r="AA13" s="37">
        <f>INDEX(Cooper_pop_2030_2050!E:E, MATCH(About!$B$1, Cooper_pop_2030_2050!B:B, 0))+0.9*(INDEX(Cooper_pop_2030_2050!F:F, MATCH(About!$B$1, Cooper_pop_2030_2050!B:B, 0))-INDEX(Cooper_pop_2030_2050!E:E, MATCH(About!$B$1, Cooper_pop_2030_2050!B:B, 0)))</f>
        <v>28289490.109453551</v>
      </c>
      <c r="AB13" s="37">
        <f>INDEX(Cooper_pop_2030_2050!F:F, MATCH(About!$B$1, Cooper_pop_2030_2050!B:B, 0))</f>
        <v>28521379.819008172</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6.9144341699557757E-2</v>
      </c>
      <c r="C15" s="39">
        <f t="shared" si="1"/>
        <v>6.9412394745188871E-2</v>
      </c>
      <c r="D15" s="39">
        <f t="shared" si="1"/>
        <v>6.9299321433139133E-2</v>
      </c>
      <c r="E15" s="39">
        <f t="shared" si="1"/>
        <v>6.9195222311544693E-2</v>
      </c>
      <c r="F15" s="39">
        <f t="shared" si="1"/>
        <v>6.9100720878710359E-2</v>
      </c>
      <c r="G15" s="39">
        <f t="shared" si="1"/>
        <v>6.9016084086750681E-2</v>
      </c>
      <c r="H15" s="39">
        <f t="shared" si="1"/>
        <v>6.8941954974134717E-2</v>
      </c>
      <c r="I15" s="39">
        <f t="shared" si="1"/>
        <v>6.9386559172340725E-2</v>
      </c>
      <c r="J15" s="39">
        <f t="shared" si="1"/>
        <v>6.9839953517306458E-2</v>
      </c>
      <c r="K15" s="39">
        <f t="shared" si="1"/>
        <v>7.0300114023309115E-2</v>
      </c>
      <c r="L15" s="39">
        <f t="shared" si="1"/>
        <v>7.0767523266812071E-2</v>
      </c>
      <c r="M15" s="39">
        <f t="shared" si="1"/>
        <v>7.1242624480485475E-2</v>
      </c>
      <c r="N15" s="39">
        <f t="shared" si="1"/>
        <v>7.1725801163299477E-2</v>
      </c>
      <c r="O15" s="39">
        <f t="shared" si="1"/>
        <v>7.2217446320362075E-2</v>
      </c>
      <c r="P15" s="39">
        <f t="shared" si="1"/>
        <v>7.2717868228629842E-2</v>
      </c>
      <c r="Q15" s="39">
        <f t="shared" si="1"/>
        <v>7.3227229948433156E-2</v>
      </c>
      <c r="R15" s="39">
        <f t="shared" si="1"/>
        <v>7.3745607770234659E-2</v>
      </c>
      <c r="S15" s="39">
        <f t="shared" si="1"/>
        <v>7.4246859468004134E-2</v>
      </c>
      <c r="T15" s="39">
        <f t="shared" si="1"/>
        <v>7.4757095143703725E-2</v>
      </c>
      <c r="U15" s="39">
        <f t="shared" si="1"/>
        <v>7.5275926712148319E-2</v>
      </c>
      <c r="V15" s="39">
        <f t="shared" si="1"/>
        <v>7.5802694292640499E-2</v>
      </c>
      <c r="W15" s="39">
        <f t="shared" si="1"/>
        <v>7.6336586333823175E-2</v>
      </c>
      <c r="X15" s="39">
        <f t="shared" si="1"/>
        <v>7.6876729408994704E-2</v>
      </c>
      <c r="Y15" s="39">
        <f t="shared" si="1"/>
        <v>7.7422608592088271E-2</v>
      </c>
      <c r="Z15" s="39">
        <f t="shared" si="1"/>
        <v>7.797335141448665E-2</v>
      </c>
      <c r="AA15" s="39">
        <f t="shared" si="1"/>
        <v>7.8528038447258766E-2</v>
      </c>
      <c r="AB15" s="39">
        <f t="shared" si="1"/>
        <v>7.9085736306428386E-2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645.35354503696306</v>
      </c>
      <c r="C48" s="37">
        <f t="shared" si="10"/>
        <v>642.96774182114098</v>
      </c>
      <c r="D48" s="37">
        <f t="shared" si="10"/>
        <v>636.9719202027876</v>
      </c>
      <c r="E48" s="37">
        <f t="shared" si="10"/>
        <v>631.07409331379949</v>
      </c>
      <c r="F48" s="37">
        <f t="shared" si="10"/>
        <v>625.14091836414616</v>
      </c>
      <c r="G48" s="37">
        <f t="shared" si="10"/>
        <v>619.17323950816115</v>
      </c>
      <c r="H48" s="37">
        <f t="shared" si="10"/>
        <v>613.1750490157242</v>
      </c>
      <c r="I48" s="37">
        <f t="shared" si="10"/>
        <v>611.96829744061074</v>
      </c>
      <c r="J48" s="37">
        <f t="shared" si="10"/>
        <v>610.2874277073945</v>
      </c>
      <c r="K48" s="37">
        <f t="shared" si="10"/>
        <v>608.66110982769703</v>
      </c>
      <c r="L48" s="37">
        <f t="shared" si="10"/>
        <v>606.60193284463742</v>
      </c>
      <c r="M48" s="37">
        <f t="shared" si="10"/>
        <v>604.59802242652313</v>
      </c>
      <c r="N48" s="37">
        <f t="shared" si="10"/>
        <v>602.72318074651537</v>
      </c>
      <c r="O48" s="37">
        <f t="shared" si="10"/>
        <v>599.97882502265657</v>
      </c>
      <c r="P48" s="37">
        <f t="shared" si="10"/>
        <v>597.42928807419617</v>
      </c>
      <c r="Q48" s="37">
        <f t="shared" si="10"/>
        <v>594.42432057748488</v>
      </c>
      <c r="R48" s="37">
        <f t="shared" si="10"/>
        <v>591.31849632397189</v>
      </c>
      <c r="S48" s="37">
        <f t="shared" si="10"/>
        <v>587.75332171684329</v>
      </c>
      <c r="T48" s="37">
        <f t="shared" si="10"/>
        <v>584.15594169730628</v>
      </c>
      <c r="U48" s="37">
        <f t="shared" si="10"/>
        <v>580.52061022399255</v>
      </c>
      <c r="V48" s="37">
        <f t="shared" si="10"/>
        <v>576.83967153232436</v>
      </c>
      <c r="W48" s="37">
        <f t="shared" si="10"/>
        <v>573.18030814969768</v>
      </c>
      <c r="X48" s="37">
        <f t="shared" si="10"/>
        <v>570.06917696796427</v>
      </c>
      <c r="Y48" s="37">
        <f t="shared" si="10"/>
        <v>566.8993365347136</v>
      </c>
      <c r="Z48" s="37">
        <f t="shared" si="10"/>
        <v>564.04952868879752</v>
      </c>
      <c r="AA48" s="37">
        <f t="shared" si="10"/>
        <v>561.20856121792508</v>
      </c>
      <c r="AB48" s="37">
        <f t="shared" si="10"/>
        <v>558.29202795649906</v>
      </c>
    </row>
    <row r="49" spans="1:28" x14ac:dyDescent="0.25">
      <c r="A49" s="4" t="s">
        <v>216</v>
      </c>
      <c r="B49" s="37">
        <f t="shared" ref="B49:AB49" si="11">B29*B15*$F$5</f>
        <v>523.06412793073503</v>
      </c>
      <c r="C49" s="37">
        <f t="shared" si="11"/>
        <v>522.22292726737828</v>
      </c>
      <c r="D49" s="37">
        <f t="shared" si="11"/>
        <v>518.50792351083476</v>
      </c>
      <c r="E49" s="37">
        <f t="shared" si="11"/>
        <v>514.79928622428713</v>
      </c>
      <c r="F49" s="37">
        <f t="shared" si="11"/>
        <v>511.03114127162382</v>
      </c>
      <c r="G49" s="37">
        <f t="shared" si="11"/>
        <v>507.34389576862895</v>
      </c>
      <c r="H49" s="37">
        <f t="shared" si="11"/>
        <v>503.67143486374812</v>
      </c>
      <c r="I49" s="37">
        <f t="shared" si="11"/>
        <v>503.42214948851495</v>
      </c>
      <c r="J49" s="37">
        <f t="shared" si="11"/>
        <v>503.4025935610037</v>
      </c>
      <c r="K49" s="37">
        <f t="shared" si="11"/>
        <v>502.9633036206227</v>
      </c>
      <c r="L49" s="37">
        <f t="shared" si="11"/>
        <v>502.6689973648011</v>
      </c>
      <c r="M49" s="37">
        <f t="shared" si="11"/>
        <v>501.94995039889358</v>
      </c>
      <c r="N49" s="37">
        <f t="shared" si="11"/>
        <v>500.87120033591839</v>
      </c>
      <c r="O49" s="37">
        <f t="shared" si="11"/>
        <v>500.15467162115118</v>
      </c>
      <c r="P49" s="37">
        <f t="shared" si="11"/>
        <v>498.70884978981059</v>
      </c>
      <c r="Q49" s="37">
        <f t="shared" si="11"/>
        <v>497.40377594649823</v>
      </c>
      <c r="R49" s="37">
        <f t="shared" si="11"/>
        <v>495.72088415653587</v>
      </c>
      <c r="S49" s="37">
        <f t="shared" si="11"/>
        <v>493.85091738243176</v>
      </c>
      <c r="T49" s="37">
        <f t="shared" si="11"/>
        <v>491.81860345615485</v>
      </c>
      <c r="U49" s="37">
        <f t="shared" si="11"/>
        <v>489.76814763908192</v>
      </c>
      <c r="V49" s="37">
        <f t="shared" si="11"/>
        <v>487.84626672578514</v>
      </c>
      <c r="W49" s="37">
        <f t="shared" si="11"/>
        <v>485.97234432776082</v>
      </c>
      <c r="X49" s="37">
        <f t="shared" si="11"/>
        <v>483.98600834797344</v>
      </c>
      <c r="Y49" s="37">
        <f t="shared" si="11"/>
        <v>482.27134727210802</v>
      </c>
      <c r="Z49" s="37">
        <f t="shared" si="11"/>
        <v>480.43541328937505</v>
      </c>
      <c r="AA49" s="37">
        <f t="shared" si="11"/>
        <v>478.7866110142258</v>
      </c>
      <c r="AB49" s="37">
        <f t="shared" si="11"/>
        <v>477.56275621581779</v>
      </c>
    </row>
    <row r="50" spans="1:28" x14ac:dyDescent="0.25">
      <c r="A50" s="4" t="s">
        <v>217</v>
      </c>
      <c r="B50" s="37">
        <f t="shared" ref="B50:AB50" si="12">B30*B15*$F$6</f>
        <v>693.01513305187552</v>
      </c>
      <c r="C50" s="37">
        <f t="shared" si="12"/>
        <v>691.11455695354198</v>
      </c>
      <c r="D50" s="37">
        <f t="shared" si="12"/>
        <v>685.47945642194964</v>
      </c>
      <c r="E50" s="37">
        <f t="shared" si="12"/>
        <v>679.80655306320489</v>
      </c>
      <c r="F50" s="37">
        <f t="shared" si="12"/>
        <v>674.17101318286552</v>
      </c>
      <c r="G50" s="37">
        <f t="shared" si="12"/>
        <v>668.64391904279103</v>
      </c>
      <c r="H50" s="37">
        <f t="shared" si="12"/>
        <v>662.94906481466319</v>
      </c>
      <c r="I50" s="37">
        <f t="shared" si="12"/>
        <v>662.28617713344693</v>
      </c>
      <c r="J50" s="37">
        <f t="shared" si="12"/>
        <v>661.28824498252709</v>
      </c>
      <c r="K50" s="37">
        <f t="shared" si="12"/>
        <v>659.99881808930013</v>
      </c>
      <c r="L50" s="37">
        <f t="shared" si="12"/>
        <v>658.34319165322688</v>
      </c>
      <c r="M50" s="37">
        <f t="shared" si="12"/>
        <v>656.31646341276087</v>
      </c>
      <c r="N50" s="37">
        <f t="shared" si="12"/>
        <v>653.91279598729</v>
      </c>
      <c r="O50" s="37">
        <f t="shared" si="12"/>
        <v>650.90577600458835</v>
      </c>
      <c r="P50" s="37">
        <f t="shared" si="12"/>
        <v>647.57924826311944</v>
      </c>
      <c r="Q50" s="37">
        <f t="shared" si="12"/>
        <v>643.85125269810351</v>
      </c>
      <c r="R50" s="37">
        <f t="shared" si="12"/>
        <v>639.71165629316511</v>
      </c>
      <c r="S50" s="37">
        <f t="shared" si="12"/>
        <v>635.0767819385361</v>
      </c>
      <c r="T50" s="37">
        <f t="shared" si="12"/>
        <v>630.39637442183766</v>
      </c>
      <c r="U50" s="37">
        <f t="shared" si="12"/>
        <v>625.66394725638906</v>
      </c>
      <c r="V50" s="37">
        <f t="shared" si="12"/>
        <v>620.94804498374583</v>
      </c>
      <c r="W50" s="37">
        <f t="shared" si="12"/>
        <v>616.39609102545978</v>
      </c>
      <c r="X50" s="37">
        <f t="shared" si="12"/>
        <v>612.08167984840043</v>
      </c>
      <c r="Y50" s="37">
        <f t="shared" si="12"/>
        <v>607.84780861205979</v>
      </c>
      <c r="Z50" s="37">
        <f t="shared" si="12"/>
        <v>603.76842171767021</v>
      </c>
      <c r="AA50" s="37">
        <f t="shared" si="12"/>
        <v>599.99964364106881</v>
      </c>
      <c r="AB50" s="37">
        <f t="shared" si="12"/>
        <v>596.38086358732392</v>
      </c>
    </row>
    <row r="51" spans="1:28" x14ac:dyDescent="0.25">
      <c r="A51" s="4" t="s">
        <v>218</v>
      </c>
      <c r="B51" s="37">
        <f t="shared" ref="B51:AB51" si="13">B31*B15*$F$7</f>
        <v>400.06737067224662</v>
      </c>
      <c r="C51" s="37">
        <f t="shared" si="13"/>
        <v>396.20960679465338</v>
      </c>
      <c r="D51" s="37">
        <f t="shared" si="13"/>
        <v>390.2499900594205</v>
      </c>
      <c r="E51" s="37">
        <f t="shared" si="13"/>
        <v>384.18639614801037</v>
      </c>
      <c r="F51" s="37">
        <f t="shared" si="13"/>
        <v>378.02087734118913</v>
      </c>
      <c r="G51" s="37">
        <f t="shared" si="13"/>
        <v>371.92394722456322</v>
      </c>
      <c r="H51" s="37">
        <f t="shared" si="13"/>
        <v>365.6407906750652</v>
      </c>
      <c r="I51" s="37">
        <f t="shared" si="13"/>
        <v>362.16299325032065</v>
      </c>
      <c r="J51" s="37">
        <f t="shared" si="13"/>
        <v>358.65554922447836</v>
      </c>
      <c r="K51" s="37">
        <f t="shared" si="13"/>
        <v>355.10601696271056</v>
      </c>
      <c r="L51" s="37">
        <f t="shared" si="13"/>
        <v>351.69014360632195</v>
      </c>
      <c r="M51" s="37">
        <f t="shared" si="13"/>
        <v>348.49990656664477</v>
      </c>
      <c r="N51" s="37">
        <f t="shared" si="13"/>
        <v>345.27450219944592</v>
      </c>
      <c r="O51" s="37">
        <f t="shared" si="13"/>
        <v>342.28186995125918</v>
      </c>
      <c r="P51" s="37">
        <f t="shared" si="13"/>
        <v>339.25721384126479</v>
      </c>
      <c r="Q51" s="37">
        <f t="shared" si="13"/>
        <v>336.38047039722596</v>
      </c>
      <c r="R51" s="37">
        <f t="shared" si="13"/>
        <v>333.56262875978666</v>
      </c>
      <c r="S51" s="37">
        <f t="shared" si="13"/>
        <v>330.59543883862142</v>
      </c>
      <c r="T51" s="37">
        <f t="shared" si="13"/>
        <v>327.68940440701283</v>
      </c>
      <c r="U51" s="37">
        <f t="shared" si="13"/>
        <v>324.74977233793794</v>
      </c>
      <c r="V51" s="37">
        <f t="shared" si="13"/>
        <v>321.9594681793136</v>
      </c>
      <c r="W51" s="37">
        <f t="shared" si="13"/>
        <v>319.03416602918492</v>
      </c>
      <c r="X51" s="37">
        <f t="shared" si="13"/>
        <v>316.25209552120339</v>
      </c>
      <c r="Y51" s="37">
        <f t="shared" si="13"/>
        <v>313.70970996896847</v>
      </c>
      <c r="Z51" s="37">
        <f t="shared" si="13"/>
        <v>311.11921373541009</v>
      </c>
      <c r="AA51" s="37">
        <f t="shared" si="13"/>
        <v>308.67034722265231</v>
      </c>
      <c r="AB51" s="37">
        <f t="shared" si="13"/>
        <v>306.1672745325431</v>
      </c>
    </row>
    <row r="52" spans="1:28" x14ac:dyDescent="0.25">
      <c r="A52" s="4" t="s">
        <v>219</v>
      </c>
      <c r="B52" s="37">
        <f t="shared" ref="B52:AB52" si="14">B32*B15*$F$8</f>
        <v>31.273220553492727</v>
      </c>
      <c r="C52" s="37">
        <f t="shared" si="14"/>
        <v>31.503846334908154</v>
      </c>
      <c r="D52" s="37">
        <f t="shared" si="14"/>
        <v>31.561736493638183</v>
      </c>
      <c r="E52" s="37">
        <f t="shared" si="14"/>
        <v>31.659720321311188</v>
      </c>
      <c r="F52" s="37">
        <f t="shared" si="14"/>
        <v>31.761678190000438</v>
      </c>
      <c r="G52" s="37">
        <f t="shared" si="14"/>
        <v>31.867793864107949</v>
      </c>
      <c r="H52" s="37">
        <f t="shared" si="14"/>
        <v>31.978427797772643</v>
      </c>
      <c r="I52" s="37">
        <f t="shared" si="14"/>
        <v>32.330452387267243</v>
      </c>
      <c r="J52" s="37">
        <f t="shared" si="14"/>
        <v>32.688459616465948</v>
      </c>
      <c r="K52" s="37">
        <f t="shared" si="14"/>
        <v>33.125411539753891</v>
      </c>
      <c r="L52" s="37">
        <f t="shared" si="14"/>
        <v>33.494353332699056</v>
      </c>
      <c r="M52" s="37">
        <f t="shared" si="14"/>
        <v>33.868916171957338</v>
      </c>
      <c r="N52" s="37">
        <f t="shared" si="14"/>
        <v>34.249331667392838</v>
      </c>
      <c r="O52" s="37">
        <f t="shared" si="14"/>
        <v>34.635839211332019</v>
      </c>
      <c r="P52" s="37">
        <f t="shared" si="14"/>
        <v>34.990441513246708</v>
      </c>
      <c r="Q52" s="37">
        <f t="shared" si="14"/>
        <v>35.389403561608646</v>
      </c>
      <c r="R52" s="37">
        <f t="shared" si="14"/>
        <v>35.717404342646596</v>
      </c>
      <c r="S52" s="37">
        <f t="shared" si="14"/>
        <v>36.077183980123813</v>
      </c>
      <c r="T52" s="37">
        <f t="shared" si="14"/>
        <v>36.482193423312985</v>
      </c>
      <c r="U52" s="37">
        <f t="shared" si="14"/>
        <v>36.814474175607906</v>
      </c>
      <c r="V52" s="37">
        <f t="shared" si="14"/>
        <v>37.191554288481015</v>
      </c>
      <c r="W52" s="37">
        <f t="shared" si="14"/>
        <v>37.573801434781672</v>
      </c>
      <c r="X52" s="37">
        <f t="shared" si="14"/>
        <v>37.920434160540587</v>
      </c>
      <c r="Y52" s="37">
        <f t="shared" si="14"/>
        <v>38.352378490105913</v>
      </c>
      <c r="Z52" s="37">
        <f t="shared" si="14"/>
        <v>38.707116519367894</v>
      </c>
      <c r="AA52" s="37">
        <f t="shared" si="14"/>
        <v>39.064973891642971</v>
      </c>
      <c r="AB52" s="37">
        <f t="shared" si="14"/>
        <v>39.425497731686789</v>
      </c>
    </row>
    <row r="53" spans="1:28" x14ac:dyDescent="0.25">
      <c r="A53" s="4" t="s">
        <v>220</v>
      </c>
      <c r="B53" s="37">
        <f t="shared" ref="B53:AB53" si="15">B33*B15*$F$9</f>
        <v>73.343004018733396</v>
      </c>
      <c r="C53" s="37">
        <f t="shared" si="15"/>
        <v>74.257871206710419</v>
      </c>
      <c r="D53" s="37">
        <f t="shared" si="15"/>
        <v>74.621143013301463</v>
      </c>
      <c r="E53" s="37">
        <f t="shared" si="15"/>
        <v>75.08926286469233</v>
      </c>
      <c r="F53" s="37">
        <f t="shared" si="15"/>
        <v>75.517847567947129</v>
      </c>
      <c r="G53" s="37">
        <f t="shared" si="15"/>
        <v>75.859384221225923</v>
      </c>
      <c r="H53" s="37">
        <f t="shared" si="15"/>
        <v>76.404168501610044</v>
      </c>
      <c r="I53" s="37">
        <f t="shared" si="15"/>
        <v>77.333259467130517</v>
      </c>
      <c r="J53" s="37">
        <f t="shared" si="15"/>
        <v>78.326596312816676</v>
      </c>
      <c r="K53" s="37">
        <f t="shared" si="15"/>
        <v>79.186535619196306</v>
      </c>
      <c r="L53" s="37">
        <f t="shared" si="15"/>
        <v>80.108626787221638</v>
      </c>
      <c r="M53" s="37">
        <f t="shared" si="15"/>
        <v>80.895348719561326</v>
      </c>
      <c r="N53" s="37">
        <f t="shared" si="15"/>
        <v>81.794827080536621</v>
      </c>
      <c r="O53" s="37">
        <f t="shared" si="15"/>
        <v>82.607805082819539</v>
      </c>
      <c r="P53" s="37">
        <f t="shared" si="15"/>
        <v>83.332663502738498</v>
      </c>
      <c r="Q53" s="37">
        <f t="shared" si="15"/>
        <v>83.967546453028902</v>
      </c>
      <c r="R53" s="37">
        <f t="shared" si="15"/>
        <v>84.613486053672332</v>
      </c>
      <c r="S53" s="37">
        <f t="shared" si="15"/>
        <v>85.18860713302854</v>
      </c>
      <c r="T53" s="37">
        <f t="shared" si="15"/>
        <v>85.565086008705222</v>
      </c>
      <c r="U53" s="37">
        <f t="shared" si="15"/>
        <v>86.05372738324084</v>
      </c>
      <c r="V53" s="37">
        <f t="shared" si="15"/>
        <v>86.44404344524564</v>
      </c>
      <c r="W53" s="37">
        <f t="shared" si="15"/>
        <v>86.839519514061195</v>
      </c>
      <c r="X53" s="37">
        <f t="shared" si="15"/>
        <v>87.346542013255956</v>
      </c>
      <c r="Y53" s="37">
        <f t="shared" si="15"/>
        <v>87.696263769988249</v>
      </c>
      <c r="Z53" s="37">
        <f t="shared" si="15"/>
        <v>88.211117973030071</v>
      </c>
      <c r="AA53" s="37">
        <f t="shared" si="15"/>
        <v>88.564271780625162</v>
      </c>
      <c r="AB53" s="37">
        <f t="shared" si="15"/>
        <v>89.082721443708024</v>
      </c>
    </row>
    <row r="54" spans="1:28" x14ac:dyDescent="0.25">
      <c r="A54" s="4" t="s">
        <v>221</v>
      </c>
      <c r="B54" s="37">
        <f t="shared" ref="B54:AB54" si="16">B34*B15*$F$10</f>
        <v>390.60028123035642</v>
      </c>
      <c r="C54" s="37">
        <f t="shared" si="16"/>
        <v>393.74791315736928</v>
      </c>
      <c r="D54" s="37">
        <f t="shared" si="16"/>
        <v>394.94105977418394</v>
      </c>
      <c r="E54" s="37">
        <f t="shared" si="16"/>
        <v>396.28136880372296</v>
      </c>
      <c r="F54" s="37">
        <f t="shared" si="16"/>
        <v>397.97597875168475</v>
      </c>
      <c r="G54" s="37">
        <f t="shared" si="16"/>
        <v>399.31559169939413</v>
      </c>
      <c r="H54" s="37">
        <f t="shared" si="16"/>
        <v>400.61040262887582</v>
      </c>
      <c r="I54" s="37">
        <f t="shared" si="16"/>
        <v>404.82670198603103</v>
      </c>
      <c r="J54" s="37">
        <f t="shared" si="16"/>
        <v>408.90998685066518</v>
      </c>
      <c r="K54" s="37">
        <f t="shared" si="16"/>
        <v>412.8449132108251</v>
      </c>
      <c r="L54" s="37">
        <f t="shared" si="16"/>
        <v>416.52654017378603</v>
      </c>
      <c r="M54" s="37">
        <f t="shared" si="16"/>
        <v>419.95158141722453</v>
      </c>
      <c r="N54" s="37">
        <f t="shared" si="16"/>
        <v>423.11621417120062</v>
      </c>
      <c r="O54" s="37">
        <f t="shared" si="16"/>
        <v>426.01646811326981</v>
      </c>
      <c r="P54" s="37">
        <f t="shared" si="16"/>
        <v>428.32680870685317</v>
      </c>
      <c r="Q54" s="37">
        <f t="shared" si="16"/>
        <v>430.35780494086839</v>
      </c>
      <c r="R54" s="37">
        <f t="shared" si="16"/>
        <v>431.7774280326293</v>
      </c>
      <c r="S54" s="37">
        <f t="shared" si="16"/>
        <v>433.07428446359921</v>
      </c>
      <c r="T54" s="37">
        <f t="shared" si="16"/>
        <v>433.96144056965574</v>
      </c>
      <c r="U54" s="37">
        <f t="shared" si="16"/>
        <v>434.4268985241693</v>
      </c>
      <c r="V54" s="37">
        <f t="shared" si="16"/>
        <v>434.90278705579141</v>
      </c>
      <c r="W54" s="37">
        <f t="shared" si="16"/>
        <v>434.8223213669317</v>
      </c>
      <c r="X54" s="37">
        <f t="shared" si="16"/>
        <v>435.29855601409071</v>
      </c>
      <c r="Y54" s="37">
        <f t="shared" si="16"/>
        <v>435.65666625336888</v>
      </c>
      <c r="Z54" s="37">
        <f t="shared" si="16"/>
        <v>436.00343625230329</v>
      </c>
      <c r="AA54" s="37">
        <f t="shared" si="16"/>
        <v>436.4487354559692</v>
      </c>
      <c r="AB54" s="37">
        <f t="shared" si="16"/>
        <v>437.1057669577059</v>
      </c>
    </row>
    <row r="55" spans="1:28" x14ac:dyDescent="0.25">
      <c r="A55" s="4" t="s">
        <v>222</v>
      </c>
      <c r="B55" s="37">
        <f t="shared" ref="B55:AB55" si="17">B35*B15*$F$11</f>
        <v>800.82207312647688</v>
      </c>
      <c r="C55" s="37">
        <f t="shared" si="17"/>
        <v>796.05585127854818</v>
      </c>
      <c r="D55" s="37">
        <f t="shared" si="17"/>
        <v>786.71693852707438</v>
      </c>
      <c r="E55" s="37">
        <f t="shared" si="17"/>
        <v>777.38251129465073</v>
      </c>
      <c r="F55" s="37">
        <f t="shared" si="17"/>
        <v>767.75080913206091</v>
      </c>
      <c r="G55" s="37">
        <f t="shared" si="17"/>
        <v>758.37320500279793</v>
      </c>
      <c r="H55" s="37">
        <f t="shared" si="17"/>
        <v>749.00832468607427</v>
      </c>
      <c r="I55" s="37">
        <f t="shared" si="17"/>
        <v>745.17172087272047</v>
      </c>
      <c r="J55" s="37">
        <f t="shared" si="17"/>
        <v>741.19361253648719</v>
      </c>
      <c r="K55" s="37">
        <f t="shared" si="17"/>
        <v>736.98475222935394</v>
      </c>
      <c r="L55" s="37">
        <f t="shared" si="17"/>
        <v>732.6692230748954</v>
      </c>
      <c r="M55" s="37">
        <f t="shared" si="17"/>
        <v>728.18436993967725</v>
      </c>
      <c r="N55" s="37">
        <f t="shared" si="17"/>
        <v>723.65556990286075</v>
      </c>
      <c r="O55" s="37">
        <f t="shared" si="17"/>
        <v>718.82763681729671</v>
      </c>
      <c r="P55" s="37">
        <f t="shared" si="17"/>
        <v>713.88818260492849</v>
      </c>
      <c r="Q55" s="37">
        <f t="shared" si="17"/>
        <v>708.8338636623962</v>
      </c>
      <c r="R55" s="37">
        <f t="shared" si="17"/>
        <v>703.72570082344657</v>
      </c>
      <c r="S55" s="37">
        <f t="shared" si="17"/>
        <v>698.11678495032766</v>
      </c>
      <c r="T55" s="37">
        <f t="shared" si="17"/>
        <v>692.58321702112141</v>
      </c>
      <c r="U55" s="37">
        <f t="shared" si="17"/>
        <v>687.25381160690904</v>
      </c>
      <c r="V55" s="37">
        <f t="shared" si="17"/>
        <v>681.99037074359831</v>
      </c>
      <c r="W55" s="37">
        <f t="shared" si="17"/>
        <v>677.12345780576106</v>
      </c>
      <c r="X55" s="37">
        <f t="shared" si="17"/>
        <v>672.3121404502424</v>
      </c>
      <c r="Y55" s="37">
        <f t="shared" si="17"/>
        <v>667.75826699207187</v>
      </c>
      <c r="Z55" s="37">
        <f t="shared" si="17"/>
        <v>663.39051982362332</v>
      </c>
      <c r="AA55" s="37">
        <f t="shared" si="17"/>
        <v>659.13576345952902</v>
      </c>
      <c r="AB55" s="37">
        <f t="shared" si="17"/>
        <v>655.05939765890571</v>
      </c>
    </row>
    <row r="57" spans="1:28" x14ac:dyDescent="0.25">
      <c r="A57" s="4" t="s">
        <v>327</v>
      </c>
    </row>
    <row r="58" spans="1:28" x14ac:dyDescent="0.25">
      <c r="A58" s="4" t="s">
        <v>215</v>
      </c>
      <c r="B58" s="37">
        <f t="shared" ref="B58:AB58" si="18">B38*B15*$F$4</f>
        <v>102336.16179931691</v>
      </c>
      <c r="C58" s="37">
        <f t="shared" si="18"/>
        <v>104604.17409205588</v>
      </c>
      <c r="D58" s="37">
        <f t="shared" si="18"/>
        <v>106286.54490540428</v>
      </c>
      <c r="E58" s="37">
        <f t="shared" si="18"/>
        <v>107969.32470760333</v>
      </c>
      <c r="F58" s="37">
        <f t="shared" si="18"/>
        <v>109661.86079634576</v>
      </c>
      <c r="G58" s="37">
        <f t="shared" si="18"/>
        <v>111367.47220367347</v>
      </c>
      <c r="H58" s="37">
        <f t="shared" si="18"/>
        <v>113078.62743519427</v>
      </c>
      <c r="I58" s="37">
        <f t="shared" si="18"/>
        <v>115634.55118819955</v>
      </c>
      <c r="J58" s="37">
        <f t="shared" si="18"/>
        <v>118194.06343925858</v>
      </c>
      <c r="K58" s="37">
        <f t="shared" si="18"/>
        <v>120754.66899636481</v>
      </c>
      <c r="L58" s="37">
        <f t="shared" si="18"/>
        <v>123305.61649747581</v>
      </c>
      <c r="M58" s="37">
        <f t="shared" si="18"/>
        <v>125844.1426373537</v>
      </c>
      <c r="N58" s="37">
        <f t="shared" si="18"/>
        <v>128356.56309210982</v>
      </c>
      <c r="O58" s="37">
        <f t="shared" si="18"/>
        <v>130836.99632925433</v>
      </c>
      <c r="P58" s="37">
        <f t="shared" si="18"/>
        <v>133267.40604963238</v>
      </c>
      <c r="Q58" s="37">
        <f t="shared" si="18"/>
        <v>135643.56303312443</v>
      </c>
      <c r="R58" s="37">
        <f t="shared" si="18"/>
        <v>137943.15913861952</v>
      </c>
      <c r="S58" s="37">
        <f t="shared" si="18"/>
        <v>140116.06216849101</v>
      </c>
      <c r="T58" s="37">
        <f t="shared" si="18"/>
        <v>142201.52795684204</v>
      </c>
      <c r="U58" s="37">
        <f t="shared" si="18"/>
        <v>144204.79852259712</v>
      </c>
      <c r="V58" s="37">
        <f t="shared" si="18"/>
        <v>146088.61244734444</v>
      </c>
      <c r="W58" s="37">
        <f t="shared" si="18"/>
        <v>147858.41295791461</v>
      </c>
      <c r="X58" s="37">
        <f t="shared" si="18"/>
        <v>149502.90989015688</v>
      </c>
      <c r="Y58" s="37">
        <f t="shared" si="18"/>
        <v>151080.93832674602</v>
      </c>
      <c r="Z58" s="37">
        <f t="shared" si="18"/>
        <v>152534.95359703424</v>
      </c>
      <c r="AA58" s="37">
        <f t="shared" si="18"/>
        <v>153871.14463474447</v>
      </c>
      <c r="AB58" s="37">
        <f t="shared" si="18"/>
        <v>155100.47460397729</v>
      </c>
    </row>
    <row r="59" spans="1:28" x14ac:dyDescent="0.25">
      <c r="A59" s="4" t="s">
        <v>216</v>
      </c>
      <c r="B59" s="37">
        <f t="shared" ref="B59:AB59" si="19">B39*B15*$F$5</f>
        <v>97748.166544719134</v>
      </c>
      <c r="C59" s="37">
        <f t="shared" si="19"/>
        <v>99655.710942769816</v>
      </c>
      <c r="D59" s="37">
        <f t="shared" si="19"/>
        <v>101011.93837298786</v>
      </c>
      <c r="E59" s="37">
        <f t="shared" si="19"/>
        <v>102421.13165034384</v>
      </c>
      <c r="F59" s="37">
        <f t="shared" si="19"/>
        <v>103912.21961879342</v>
      </c>
      <c r="G59" s="37">
        <f t="shared" si="19"/>
        <v>105490.65535213519</v>
      </c>
      <c r="H59" s="37">
        <f t="shared" si="19"/>
        <v>107166.15799083031</v>
      </c>
      <c r="I59" s="37">
        <f t="shared" si="19"/>
        <v>109731.19942416507</v>
      </c>
      <c r="J59" s="37">
        <f t="shared" si="19"/>
        <v>112401.13920944373</v>
      </c>
      <c r="K59" s="37">
        <f t="shared" si="19"/>
        <v>115148.83119341446</v>
      </c>
      <c r="L59" s="37">
        <f t="shared" si="19"/>
        <v>117973.04638423304</v>
      </c>
      <c r="M59" s="37">
        <f t="shared" si="19"/>
        <v>120867.66637216455</v>
      </c>
      <c r="N59" s="37">
        <f t="shared" si="19"/>
        <v>123807.6672488488</v>
      </c>
      <c r="O59" s="37">
        <f t="shared" si="19"/>
        <v>126768.53328409276</v>
      </c>
      <c r="P59" s="37">
        <f t="shared" si="19"/>
        <v>129744.57232423064</v>
      </c>
      <c r="Q59" s="37">
        <f t="shared" si="19"/>
        <v>132699.54672232023</v>
      </c>
      <c r="R59" s="37">
        <f t="shared" si="19"/>
        <v>135622.26050706775</v>
      </c>
      <c r="S59" s="37">
        <f t="shared" si="19"/>
        <v>138437.90888387035</v>
      </c>
      <c r="T59" s="37">
        <f t="shared" si="19"/>
        <v>141182.3858232061</v>
      </c>
      <c r="U59" s="37">
        <f t="shared" si="19"/>
        <v>143840.3669796912</v>
      </c>
      <c r="V59" s="37">
        <f t="shared" si="19"/>
        <v>146376.49945616772</v>
      </c>
      <c r="W59" s="37">
        <f t="shared" si="19"/>
        <v>148757.7121811597</v>
      </c>
      <c r="X59" s="37">
        <f t="shared" si="19"/>
        <v>150987.82465329423</v>
      </c>
      <c r="Y59" s="37">
        <f t="shared" si="19"/>
        <v>153133.67979421347</v>
      </c>
      <c r="Z59" s="37">
        <f t="shared" si="19"/>
        <v>155126.40085582389</v>
      </c>
      <c r="AA59" s="37">
        <f t="shared" si="19"/>
        <v>156937.82799267684</v>
      </c>
      <c r="AB59" s="37">
        <f t="shared" si="19"/>
        <v>158565.98313104402</v>
      </c>
    </row>
    <row r="60" spans="1:28" x14ac:dyDescent="0.25">
      <c r="A60" s="4" t="s">
        <v>217</v>
      </c>
      <c r="B60" s="37">
        <f t="shared" ref="B60:AB60" si="20">B40*B15*$F$6</f>
        <v>164797.14272580695</v>
      </c>
      <c r="C60" s="37">
        <f t="shared" si="20"/>
        <v>168204.07202749143</v>
      </c>
      <c r="D60" s="37">
        <f t="shared" si="20"/>
        <v>170660.78144031824</v>
      </c>
      <c r="E60" s="37">
        <f t="shared" si="20"/>
        <v>173145.03359402693</v>
      </c>
      <c r="F60" s="37">
        <f t="shared" si="20"/>
        <v>175692.43665321748</v>
      </c>
      <c r="G60" s="37">
        <f t="shared" si="20"/>
        <v>178303.87558859107</v>
      </c>
      <c r="H60" s="37">
        <f t="shared" si="20"/>
        <v>180986.07601042202</v>
      </c>
      <c r="I60" s="37">
        <f t="shared" si="20"/>
        <v>185075.3360500753</v>
      </c>
      <c r="J60" s="37">
        <f t="shared" si="20"/>
        <v>189236.93676985975</v>
      </c>
      <c r="K60" s="37">
        <f t="shared" si="20"/>
        <v>193438.04865732096</v>
      </c>
      <c r="L60" s="37">
        <f t="shared" si="20"/>
        <v>197668.51461990183</v>
      </c>
      <c r="M60" s="37">
        <f t="shared" si="20"/>
        <v>201920.56590617762</v>
      </c>
      <c r="N60" s="37">
        <f t="shared" si="20"/>
        <v>206157.11166981966</v>
      </c>
      <c r="O60" s="37">
        <f t="shared" si="20"/>
        <v>210356.520050425</v>
      </c>
      <c r="P60" s="37">
        <f t="shared" si="20"/>
        <v>214490.01716018567</v>
      </c>
      <c r="Q60" s="37">
        <f t="shared" si="20"/>
        <v>218526.45056538031</v>
      </c>
      <c r="R60" s="37">
        <f t="shared" si="20"/>
        <v>222434.91078276566</v>
      </c>
      <c r="S60" s="37">
        <f t="shared" si="20"/>
        <v>226113.07562563304</v>
      </c>
      <c r="T60" s="37">
        <f t="shared" si="20"/>
        <v>229622.44943051488</v>
      </c>
      <c r="U60" s="37">
        <f t="shared" si="20"/>
        <v>232957.91557676371</v>
      </c>
      <c r="V60" s="37">
        <f t="shared" si="20"/>
        <v>236052.04673284234</v>
      </c>
      <c r="W60" s="37">
        <f t="shared" si="20"/>
        <v>238880.49431790542</v>
      </c>
      <c r="X60" s="37">
        <f t="shared" si="20"/>
        <v>241441.40646556852</v>
      </c>
      <c r="Y60" s="37">
        <f t="shared" si="20"/>
        <v>243852.0576072947</v>
      </c>
      <c r="Z60" s="37">
        <f t="shared" si="20"/>
        <v>245998.29270517264</v>
      </c>
      <c r="AA60" s="37">
        <f t="shared" si="20"/>
        <v>247858.05638200688</v>
      </c>
      <c r="AB60" s="37">
        <f t="shared" si="20"/>
        <v>249445.52293182758</v>
      </c>
    </row>
    <row r="61" spans="1:28" x14ac:dyDescent="0.25">
      <c r="A61" s="4" t="s">
        <v>218</v>
      </c>
      <c r="B61" s="37">
        <f t="shared" ref="B61:AB61" si="21">B41*B15*$F$7</f>
        <v>30929.877201113166</v>
      </c>
      <c r="C61" s="37">
        <f t="shared" si="21"/>
        <v>31518.195199664828</v>
      </c>
      <c r="D61" s="37">
        <f t="shared" si="21"/>
        <v>31933.471841971874</v>
      </c>
      <c r="E61" s="37">
        <f t="shared" si="21"/>
        <v>32352.705286491273</v>
      </c>
      <c r="F61" s="37">
        <f t="shared" si="21"/>
        <v>32786.537843571692</v>
      </c>
      <c r="G61" s="37">
        <f t="shared" si="21"/>
        <v>33235.933159474618</v>
      </c>
      <c r="H61" s="37">
        <f t="shared" si="21"/>
        <v>33700.177109574441</v>
      </c>
      <c r="I61" s="37">
        <f t="shared" si="21"/>
        <v>34432.689493581493</v>
      </c>
      <c r="J61" s="37">
        <f t="shared" si="21"/>
        <v>35185.646967740257</v>
      </c>
      <c r="K61" s="37">
        <f t="shared" si="21"/>
        <v>35957.179684302522</v>
      </c>
      <c r="L61" s="37">
        <f t="shared" si="21"/>
        <v>36747.681217298101</v>
      </c>
      <c r="M61" s="37">
        <f t="shared" si="21"/>
        <v>37555.601182866456</v>
      </c>
      <c r="N61" s="37">
        <f t="shared" si="21"/>
        <v>38383.04506580536</v>
      </c>
      <c r="O61" s="37">
        <f t="shared" si="21"/>
        <v>39220.571722504777</v>
      </c>
      <c r="P61" s="37">
        <f t="shared" si="21"/>
        <v>40072.644772983156</v>
      </c>
      <c r="Q61" s="37">
        <f t="shared" si="21"/>
        <v>40931.271966684537</v>
      </c>
      <c r="R61" s="37">
        <f t="shared" si="21"/>
        <v>41795.479474486114</v>
      </c>
      <c r="S61" s="37">
        <f t="shared" si="21"/>
        <v>42650.39306076958</v>
      </c>
      <c r="T61" s="37">
        <f t="shared" si="21"/>
        <v>43502.340308584826</v>
      </c>
      <c r="U61" s="37">
        <f t="shared" si="21"/>
        <v>44351.713245475097</v>
      </c>
      <c r="V61" s="37">
        <f t="shared" si="21"/>
        <v>45193.021144030812</v>
      </c>
      <c r="W61" s="37">
        <f t="shared" si="21"/>
        <v>46017.397467978786</v>
      </c>
      <c r="X61" s="37">
        <f t="shared" si="21"/>
        <v>46821.094216469588</v>
      </c>
      <c r="Y61" s="37">
        <f t="shared" si="21"/>
        <v>47615.311766217957</v>
      </c>
      <c r="Z61" s="37">
        <f t="shared" si="21"/>
        <v>48386.367264760142</v>
      </c>
      <c r="AA61" s="37">
        <f t="shared" si="21"/>
        <v>49133.073586246872</v>
      </c>
      <c r="AB61" s="37">
        <f t="shared" si="21"/>
        <v>49849.510047052594</v>
      </c>
    </row>
    <row r="62" spans="1:28" x14ac:dyDescent="0.25">
      <c r="A62" s="4" t="s">
        <v>219</v>
      </c>
      <c r="B62" s="37">
        <f t="shared" ref="B62:AB62" si="22">B42*B15*$F$8</f>
        <v>4425.9416307836809</v>
      </c>
      <c r="C62" s="37">
        <f t="shared" si="22"/>
        <v>4547.7114844703883</v>
      </c>
      <c r="D62" s="37">
        <f t="shared" si="22"/>
        <v>4647.9116401784731</v>
      </c>
      <c r="E62" s="37">
        <f t="shared" si="22"/>
        <v>4755.1736764113102</v>
      </c>
      <c r="F62" s="37">
        <f t="shared" si="22"/>
        <v>4870.8983690968898</v>
      </c>
      <c r="G62" s="37">
        <f t="shared" si="22"/>
        <v>4995.0138423450926</v>
      </c>
      <c r="H62" s="37">
        <f t="shared" si="22"/>
        <v>5127.8839492299221</v>
      </c>
      <c r="I62" s="37">
        <f t="shared" si="22"/>
        <v>5308.4270070227894</v>
      </c>
      <c r="J62" s="37">
        <f t="shared" si="22"/>
        <v>5497.0909484767581</v>
      </c>
      <c r="K62" s="37">
        <f t="shared" si="22"/>
        <v>5692.9177169959657</v>
      </c>
      <c r="L62" s="37">
        <f t="shared" si="22"/>
        <v>5897.4968876352677</v>
      </c>
      <c r="M62" s="37">
        <f t="shared" si="22"/>
        <v>6109.8402047708087</v>
      </c>
      <c r="N62" s="37">
        <f t="shared" si="22"/>
        <v>6329.3066345603065</v>
      </c>
      <c r="O62" s="37">
        <f t="shared" si="22"/>
        <v>6554.8989592644302</v>
      </c>
      <c r="P62" s="37">
        <f t="shared" si="22"/>
        <v>6786.1210974561036</v>
      </c>
      <c r="Q62" s="37">
        <f t="shared" si="22"/>
        <v>7021.7577342821778</v>
      </c>
      <c r="R62" s="37">
        <f t="shared" si="22"/>
        <v>7261.2088422791048</v>
      </c>
      <c r="S62" s="37">
        <f t="shared" si="22"/>
        <v>7500.622060092508</v>
      </c>
      <c r="T62" s="37">
        <f t="shared" si="22"/>
        <v>7742.6288694588102</v>
      </c>
      <c r="U62" s="37">
        <f t="shared" si="22"/>
        <v>7985.5379182248271</v>
      </c>
      <c r="V62" s="37">
        <f t="shared" si="22"/>
        <v>8229.5671481313275</v>
      </c>
      <c r="W62" s="37">
        <f t="shared" si="22"/>
        <v>8474.1152768450393</v>
      </c>
      <c r="X62" s="37">
        <f t="shared" si="22"/>
        <v>8719.8421998728063</v>
      </c>
      <c r="Y62" s="37">
        <f t="shared" si="22"/>
        <v>8966.1190930999801</v>
      </c>
      <c r="Z62" s="37">
        <f t="shared" si="22"/>
        <v>9213.1538897544342</v>
      </c>
      <c r="AA62" s="37">
        <f t="shared" si="22"/>
        <v>9460.7776527759834</v>
      </c>
      <c r="AB62" s="37">
        <f t="shared" si="22"/>
        <v>9708.2276205811322</v>
      </c>
    </row>
    <row r="63" spans="1:28" x14ac:dyDescent="0.25">
      <c r="A63" s="4" t="s">
        <v>220</v>
      </c>
      <c r="B63" s="37">
        <f t="shared" ref="B63:AB63" si="23">B43*B15*$F$9</f>
        <v>3233.9046692924121</v>
      </c>
      <c r="C63" s="37">
        <f t="shared" si="23"/>
        <v>3318.2258281284653</v>
      </c>
      <c r="D63" s="37">
        <f t="shared" si="23"/>
        <v>3387.2962848302732</v>
      </c>
      <c r="E63" s="37">
        <f t="shared" si="23"/>
        <v>3462.8092903049164</v>
      </c>
      <c r="F63" s="37">
        <f t="shared" si="23"/>
        <v>3539.0541160439161</v>
      </c>
      <c r="G63" s="37">
        <f t="shared" si="23"/>
        <v>3621.0920048537628</v>
      </c>
      <c r="H63" s="37">
        <f t="shared" si="23"/>
        <v>3705.6503464570292</v>
      </c>
      <c r="I63" s="37">
        <f t="shared" si="23"/>
        <v>3819.972108863205</v>
      </c>
      <c r="J63" s="37">
        <f t="shared" si="23"/>
        <v>3937.4609160791201</v>
      </c>
      <c r="K63" s="37">
        <f t="shared" si="23"/>
        <v>4062.4362960123544</v>
      </c>
      <c r="L63" s="37">
        <f t="shared" si="23"/>
        <v>4191.1152242907219</v>
      </c>
      <c r="M63" s="37">
        <f t="shared" si="23"/>
        <v>4324.8395786834517</v>
      </c>
      <c r="N63" s="37">
        <f t="shared" si="23"/>
        <v>4461.7775068569927</v>
      </c>
      <c r="O63" s="37">
        <f t="shared" si="23"/>
        <v>4602.3195107900474</v>
      </c>
      <c r="P63" s="37">
        <f t="shared" si="23"/>
        <v>4747.7260652694358</v>
      </c>
      <c r="Q63" s="37">
        <f t="shared" si="23"/>
        <v>4897.4416856260223</v>
      </c>
      <c r="R63" s="37">
        <f t="shared" si="23"/>
        <v>5050.5800131586357</v>
      </c>
      <c r="S63" s="37">
        <f t="shared" si="23"/>
        <v>5203.8202565555184</v>
      </c>
      <c r="T63" s="37">
        <f t="shared" si="23"/>
        <v>5360.3548844830812</v>
      </c>
      <c r="U63" s="37">
        <f t="shared" si="23"/>
        <v>5518.8001693457391</v>
      </c>
      <c r="V63" s="37">
        <f t="shared" si="23"/>
        <v>5677.5515495153122</v>
      </c>
      <c r="W63" s="37">
        <f t="shared" si="23"/>
        <v>5840.0643697770201</v>
      </c>
      <c r="X63" s="37">
        <f t="shared" si="23"/>
        <v>6003.5437815863916</v>
      </c>
      <c r="Y63" s="37">
        <f t="shared" si="23"/>
        <v>6169.6837216884633</v>
      </c>
      <c r="Z63" s="37">
        <f t="shared" si="23"/>
        <v>6336.1081656588267</v>
      </c>
      <c r="AA63" s="37">
        <f t="shared" si="23"/>
        <v>6503.7123596820429</v>
      </c>
      <c r="AB63" s="37">
        <f t="shared" si="23"/>
        <v>6673.4673954976315</v>
      </c>
    </row>
    <row r="64" spans="1:28" x14ac:dyDescent="0.25">
      <c r="A64" s="4" t="s">
        <v>221</v>
      </c>
      <c r="B64" s="37">
        <f t="shared" ref="B64:AB64" si="24">B44*B15*$F$10</f>
        <v>25432.237524837237</v>
      </c>
      <c r="C64" s="37">
        <f t="shared" si="24"/>
        <v>26431.132602453028</v>
      </c>
      <c r="D64" s="37">
        <f t="shared" si="24"/>
        <v>27304.13550718053</v>
      </c>
      <c r="E64" s="37">
        <f t="shared" si="24"/>
        <v>28199.072831869242</v>
      </c>
      <c r="F64" s="37">
        <f t="shared" si="24"/>
        <v>29116.373834621791</v>
      </c>
      <c r="G64" s="37">
        <f t="shared" si="24"/>
        <v>30059.714435237769</v>
      </c>
      <c r="H64" s="37">
        <f t="shared" si="24"/>
        <v>31039.042536865123</v>
      </c>
      <c r="I64" s="37">
        <f t="shared" si="24"/>
        <v>32291.026885816947</v>
      </c>
      <c r="J64" s="37">
        <f t="shared" si="24"/>
        <v>33585.468942598112</v>
      </c>
      <c r="K64" s="37">
        <f t="shared" si="24"/>
        <v>34930.836022652351</v>
      </c>
      <c r="L64" s="37">
        <f t="shared" si="24"/>
        <v>36333.978541126526</v>
      </c>
      <c r="M64" s="37">
        <f t="shared" si="24"/>
        <v>37786.945725440026</v>
      </c>
      <c r="N64" s="37">
        <f t="shared" si="24"/>
        <v>39300.439085153739</v>
      </c>
      <c r="O64" s="37">
        <f t="shared" si="24"/>
        <v>40868.903689711457</v>
      </c>
      <c r="P64" s="37">
        <f t="shared" si="24"/>
        <v>42491.409747942853</v>
      </c>
      <c r="Q64" s="37">
        <f t="shared" si="24"/>
        <v>44170.693043753228</v>
      </c>
      <c r="R64" s="37">
        <f t="shared" si="24"/>
        <v>45898.667278785302</v>
      </c>
      <c r="S64" s="37">
        <f t="shared" si="24"/>
        <v>47659.137065735456</v>
      </c>
      <c r="T64" s="37">
        <f t="shared" si="24"/>
        <v>49467.646127180298</v>
      </c>
      <c r="U64" s="37">
        <f t="shared" si="24"/>
        <v>51321.493282684773</v>
      </c>
      <c r="V64" s="37">
        <f t="shared" si="24"/>
        <v>53214.330434717122</v>
      </c>
      <c r="W64" s="37">
        <f t="shared" si="24"/>
        <v>55139.130356472968</v>
      </c>
      <c r="X64" s="37">
        <f t="shared" si="24"/>
        <v>57102.803771608422</v>
      </c>
      <c r="Y64" s="37">
        <f t="shared" si="24"/>
        <v>59094.105346447883</v>
      </c>
      <c r="Z64" s="37">
        <f t="shared" si="24"/>
        <v>61112.269121375568</v>
      </c>
      <c r="AA64" s="37">
        <f t="shared" si="24"/>
        <v>63143.471999763584</v>
      </c>
      <c r="AB64" s="37">
        <f t="shared" si="24"/>
        <v>65185.636530567885</v>
      </c>
    </row>
    <row r="65" spans="1:28" x14ac:dyDescent="0.25">
      <c r="A65" s="4" t="s">
        <v>222</v>
      </c>
      <c r="B65" s="37">
        <f t="shared" ref="B65:AB65" si="25">B45*B15*$F$11</f>
        <v>161987.67222271641</v>
      </c>
      <c r="C65" s="37">
        <f t="shared" si="25"/>
        <v>165088.12359928657</v>
      </c>
      <c r="D65" s="37">
        <f t="shared" si="25"/>
        <v>167256.81920500359</v>
      </c>
      <c r="E65" s="37">
        <f t="shared" si="25"/>
        <v>169459.21197754098</v>
      </c>
      <c r="F65" s="37">
        <f t="shared" si="25"/>
        <v>171728.81391822535</v>
      </c>
      <c r="G65" s="37">
        <f t="shared" si="25"/>
        <v>174071.16745036771</v>
      </c>
      <c r="H65" s="37">
        <f t="shared" si="25"/>
        <v>176482.09389098684</v>
      </c>
      <c r="I65" s="37">
        <f t="shared" si="25"/>
        <v>180265.04850745638</v>
      </c>
      <c r="J65" s="37">
        <f t="shared" si="25"/>
        <v>184117.8141095457</v>
      </c>
      <c r="K65" s="37">
        <f t="shared" si="25"/>
        <v>188009.20704235678</v>
      </c>
      <c r="L65" s="37">
        <f t="shared" si="25"/>
        <v>191924.41758216298</v>
      </c>
      <c r="M65" s="37">
        <f t="shared" si="25"/>
        <v>195860.38993669747</v>
      </c>
      <c r="N65" s="37">
        <f t="shared" si="25"/>
        <v>199776.46511532384</v>
      </c>
      <c r="O65" s="37">
        <f t="shared" si="25"/>
        <v>203649.19226393421</v>
      </c>
      <c r="P65" s="37">
        <f t="shared" si="25"/>
        <v>207458.01879879381</v>
      </c>
      <c r="Q65" s="37">
        <f t="shared" si="25"/>
        <v>211165.67533043385</v>
      </c>
      <c r="R65" s="37">
        <f t="shared" si="25"/>
        <v>214747.26766314506</v>
      </c>
      <c r="S65" s="37">
        <f t="shared" si="25"/>
        <v>218102.03632075776</v>
      </c>
      <c r="T65" s="37">
        <f t="shared" si="25"/>
        <v>221287.22525979832</v>
      </c>
      <c r="U65" s="37">
        <f t="shared" si="25"/>
        <v>224295.67758221025</v>
      </c>
      <c r="V65" s="37">
        <f t="shared" si="25"/>
        <v>227066.8674189861</v>
      </c>
      <c r="W65" s="37">
        <f t="shared" si="25"/>
        <v>229580.8283950497</v>
      </c>
      <c r="X65" s="37">
        <f t="shared" si="25"/>
        <v>231826.66954593532</v>
      </c>
      <c r="Y65" s="37">
        <f t="shared" si="25"/>
        <v>233922.45612266156</v>
      </c>
      <c r="Z65" s="37">
        <f t="shared" si="25"/>
        <v>235756.7231322045</v>
      </c>
      <c r="AA65" s="37">
        <f t="shared" si="25"/>
        <v>237318.5794333985</v>
      </c>
      <c r="AB65" s="37">
        <f t="shared" si="25"/>
        <v>238617.33079803723</v>
      </c>
    </row>
    <row r="67" spans="1:28" x14ac:dyDescent="0.25">
      <c r="A67" s="4" t="s">
        <v>328</v>
      </c>
    </row>
    <row r="68" spans="1:28" x14ac:dyDescent="0.25">
      <c r="A68" s="4" t="s">
        <v>329</v>
      </c>
      <c r="B68" s="40">
        <f t="shared" ref="B68:AB68" si="26">B48+B49</f>
        <v>1168.4176729676981</v>
      </c>
      <c r="C68" s="40">
        <f t="shared" si="26"/>
        <v>1165.1906690885194</v>
      </c>
      <c r="D68" s="40">
        <f t="shared" si="26"/>
        <v>1155.4798437136224</v>
      </c>
      <c r="E68" s="40">
        <f t="shared" si="26"/>
        <v>1145.8733795380867</v>
      </c>
      <c r="F68" s="40">
        <f t="shared" si="26"/>
        <v>1136.17205963577</v>
      </c>
      <c r="G68" s="40">
        <f t="shared" si="26"/>
        <v>1126.5171352767902</v>
      </c>
      <c r="H68" s="40">
        <f t="shared" si="26"/>
        <v>1116.8464838794723</v>
      </c>
      <c r="I68" s="40">
        <f t="shared" si="26"/>
        <v>1115.3904469291256</v>
      </c>
      <c r="J68" s="40">
        <f t="shared" si="26"/>
        <v>1113.6900212683981</v>
      </c>
      <c r="K68" s="40">
        <f t="shared" si="26"/>
        <v>1111.6244134483197</v>
      </c>
      <c r="L68" s="40">
        <f t="shared" si="26"/>
        <v>1109.2709302094386</v>
      </c>
      <c r="M68" s="40">
        <f t="shared" si="26"/>
        <v>1106.5479728254168</v>
      </c>
      <c r="N68" s="40">
        <f t="shared" si="26"/>
        <v>1103.5943810824338</v>
      </c>
      <c r="O68" s="40">
        <f t="shared" si="26"/>
        <v>1100.1334966438078</v>
      </c>
      <c r="P68" s="40">
        <f t="shared" si="26"/>
        <v>1096.1381378640067</v>
      </c>
      <c r="Q68" s="40">
        <f t="shared" si="26"/>
        <v>1091.828096523983</v>
      </c>
      <c r="R68" s="40">
        <f t="shared" si="26"/>
        <v>1087.0393804805078</v>
      </c>
      <c r="S68" s="40">
        <f t="shared" si="26"/>
        <v>1081.604239099275</v>
      </c>
      <c r="T68" s="40">
        <f t="shared" si="26"/>
        <v>1075.9745451534611</v>
      </c>
      <c r="U68" s="40">
        <f t="shared" si="26"/>
        <v>1070.2887578630744</v>
      </c>
      <c r="V68" s="40">
        <f t="shared" si="26"/>
        <v>1064.6859382581094</v>
      </c>
      <c r="W68" s="40">
        <f t="shared" si="26"/>
        <v>1059.1526524774586</v>
      </c>
      <c r="X68" s="40">
        <f t="shared" si="26"/>
        <v>1054.0551853159377</v>
      </c>
      <c r="Y68" s="40">
        <f t="shared" si="26"/>
        <v>1049.1706838068217</v>
      </c>
      <c r="Z68" s="40">
        <f t="shared" si="26"/>
        <v>1044.4849419781726</v>
      </c>
      <c r="AA68" s="40">
        <f t="shared" si="26"/>
        <v>1039.9951722321509</v>
      </c>
      <c r="AB68" s="40">
        <f t="shared" si="26"/>
        <v>1035.8547841723168</v>
      </c>
    </row>
    <row r="69" spans="1:28" x14ac:dyDescent="0.25">
      <c r="A69" s="4" t="s">
        <v>330</v>
      </c>
      <c r="B69" s="40">
        <f t="shared" ref="B69:AB69" si="27">B50+B51+B52+B53</f>
        <v>1197.6987282963482</v>
      </c>
      <c r="C69" s="40">
        <f t="shared" si="27"/>
        <v>1193.0858812898139</v>
      </c>
      <c r="D69" s="40">
        <f t="shared" si="27"/>
        <v>1181.9123259883097</v>
      </c>
      <c r="E69" s="40">
        <f t="shared" si="27"/>
        <v>1170.7419323972188</v>
      </c>
      <c r="F69" s="40">
        <f t="shared" si="27"/>
        <v>1159.4714162820021</v>
      </c>
      <c r="G69" s="40">
        <f t="shared" si="27"/>
        <v>1148.2950443526879</v>
      </c>
      <c r="H69" s="40">
        <f t="shared" si="27"/>
        <v>1136.9724517891111</v>
      </c>
      <c r="I69" s="40">
        <f t="shared" si="27"/>
        <v>1134.1128822381654</v>
      </c>
      <c r="J69" s="40">
        <f t="shared" si="27"/>
        <v>1130.9588501362882</v>
      </c>
      <c r="K69" s="40">
        <f t="shared" si="27"/>
        <v>1127.4167822109609</v>
      </c>
      <c r="L69" s="40">
        <f t="shared" si="27"/>
        <v>1123.6363153794696</v>
      </c>
      <c r="M69" s="40">
        <f t="shared" si="27"/>
        <v>1119.5806348709243</v>
      </c>
      <c r="N69" s="40">
        <f t="shared" si="27"/>
        <v>1115.2314569346654</v>
      </c>
      <c r="O69" s="40">
        <f t="shared" si="27"/>
        <v>1110.4312902499992</v>
      </c>
      <c r="P69" s="40">
        <f t="shared" si="27"/>
        <v>1105.1595671203695</v>
      </c>
      <c r="Q69" s="40">
        <f t="shared" si="27"/>
        <v>1099.588673109967</v>
      </c>
      <c r="R69" s="40">
        <f t="shared" si="27"/>
        <v>1093.6051754492707</v>
      </c>
      <c r="S69" s="40">
        <f t="shared" si="27"/>
        <v>1086.9380118903098</v>
      </c>
      <c r="T69" s="40">
        <f t="shared" si="27"/>
        <v>1080.1330582608687</v>
      </c>
      <c r="U69" s="40">
        <f t="shared" si="27"/>
        <v>1073.2819211531757</v>
      </c>
      <c r="V69" s="40">
        <f t="shared" si="27"/>
        <v>1066.5431108967862</v>
      </c>
      <c r="W69" s="40">
        <f t="shared" si="27"/>
        <v>1059.8435780034877</v>
      </c>
      <c r="X69" s="40">
        <f t="shared" si="27"/>
        <v>1053.6007515434003</v>
      </c>
      <c r="Y69" s="40">
        <f t="shared" si="27"/>
        <v>1047.6061608411223</v>
      </c>
      <c r="Z69" s="40">
        <f t="shared" si="27"/>
        <v>1041.8058699454782</v>
      </c>
      <c r="AA69" s="40">
        <f t="shared" si="27"/>
        <v>1036.2992365359892</v>
      </c>
      <c r="AB69" s="40">
        <f t="shared" si="27"/>
        <v>1031.0563572952619</v>
      </c>
    </row>
    <row r="70" spans="1:28" x14ac:dyDescent="0.25">
      <c r="A70" s="4" t="s">
        <v>331</v>
      </c>
      <c r="B70" s="40">
        <f t="shared" ref="B70:AB70" si="28">B54+B55</f>
        <v>1191.4223543568332</v>
      </c>
      <c r="C70" s="40">
        <f t="shared" si="28"/>
        <v>1189.8037644359174</v>
      </c>
      <c r="D70" s="40">
        <f t="shared" si="28"/>
        <v>1181.6579983012584</v>
      </c>
      <c r="E70" s="40">
        <f t="shared" si="28"/>
        <v>1173.6638800983737</v>
      </c>
      <c r="F70" s="40">
        <f t="shared" si="28"/>
        <v>1165.7267878837456</v>
      </c>
      <c r="G70" s="40">
        <f t="shared" si="28"/>
        <v>1157.6887967021921</v>
      </c>
      <c r="H70" s="40">
        <f t="shared" si="28"/>
        <v>1149.6187273149501</v>
      </c>
      <c r="I70" s="40">
        <f t="shared" si="28"/>
        <v>1149.9984228587514</v>
      </c>
      <c r="J70" s="40">
        <f t="shared" si="28"/>
        <v>1150.1035993871524</v>
      </c>
      <c r="K70" s="40">
        <f t="shared" si="28"/>
        <v>1149.829665440179</v>
      </c>
      <c r="L70" s="40">
        <f t="shared" si="28"/>
        <v>1149.1957632486815</v>
      </c>
      <c r="M70" s="40">
        <f t="shared" si="28"/>
        <v>1148.1359513569018</v>
      </c>
      <c r="N70" s="40">
        <f t="shared" si="28"/>
        <v>1146.7717840740613</v>
      </c>
      <c r="O70" s="40">
        <f t="shared" si="28"/>
        <v>1144.8441049305666</v>
      </c>
      <c r="P70" s="40">
        <f t="shared" si="28"/>
        <v>1142.2149913117817</v>
      </c>
      <c r="Q70" s="40">
        <f t="shared" si="28"/>
        <v>1139.1916686032646</v>
      </c>
      <c r="R70" s="40">
        <f t="shared" si="28"/>
        <v>1135.5031288560758</v>
      </c>
      <c r="S70" s="40">
        <f t="shared" si="28"/>
        <v>1131.1910694139269</v>
      </c>
      <c r="T70" s="40">
        <f t="shared" si="28"/>
        <v>1126.5446575907772</v>
      </c>
      <c r="U70" s="40">
        <f t="shared" si="28"/>
        <v>1121.6807101310783</v>
      </c>
      <c r="V70" s="40">
        <f t="shared" si="28"/>
        <v>1116.8931577993897</v>
      </c>
      <c r="W70" s="40">
        <f t="shared" si="28"/>
        <v>1111.9457791726927</v>
      </c>
      <c r="X70" s="40">
        <f t="shared" si="28"/>
        <v>1107.6106964643332</v>
      </c>
      <c r="Y70" s="40">
        <f t="shared" si="28"/>
        <v>1103.4149332454408</v>
      </c>
      <c r="Z70" s="40">
        <f t="shared" si="28"/>
        <v>1099.3939560759266</v>
      </c>
      <c r="AA70" s="40">
        <f t="shared" si="28"/>
        <v>1095.5844989154982</v>
      </c>
      <c r="AB70" s="40">
        <f t="shared" si="28"/>
        <v>1092.1651646166115</v>
      </c>
    </row>
    <row r="71" spans="1:28" x14ac:dyDescent="0.25">
      <c r="A71" s="4" t="s">
        <v>332</v>
      </c>
      <c r="B71" s="40">
        <f t="shared" ref="B71:AB71" si="29">B58+B59</f>
        <v>200084.32834403604</v>
      </c>
      <c r="C71" s="40">
        <f t="shared" si="29"/>
        <v>204259.88503482571</v>
      </c>
      <c r="D71" s="40">
        <f t="shared" si="29"/>
        <v>207298.48327839214</v>
      </c>
      <c r="E71" s="40">
        <f t="shared" si="29"/>
        <v>210390.45635794717</v>
      </c>
      <c r="F71" s="40">
        <f t="shared" si="29"/>
        <v>213574.08041513918</v>
      </c>
      <c r="G71" s="40">
        <f t="shared" si="29"/>
        <v>216858.12755580866</v>
      </c>
      <c r="H71" s="40">
        <f t="shared" si="29"/>
        <v>220244.78542602458</v>
      </c>
      <c r="I71" s="40">
        <f t="shared" si="29"/>
        <v>225365.75061236462</v>
      </c>
      <c r="J71" s="40">
        <f t="shared" si="29"/>
        <v>230595.20264870231</v>
      </c>
      <c r="K71" s="40">
        <f t="shared" si="29"/>
        <v>235903.50018977927</v>
      </c>
      <c r="L71" s="40">
        <f t="shared" si="29"/>
        <v>241278.66288170885</v>
      </c>
      <c r="M71" s="40">
        <f t="shared" si="29"/>
        <v>246711.80900951824</v>
      </c>
      <c r="N71" s="40">
        <f t="shared" si="29"/>
        <v>252164.23034095863</v>
      </c>
      <c r="O71" s="40">
        <f t="shared" si="29"/>
        <v>257605.52961334708</v>
      </c>
      <c r="P71" s="40">
        <f t="shared" si="29"/>
        <v>263011.97837386304</v>
      </c>
      <c r="Q71" s="40">
        <f t="shared" si="29"/>
        <v>268343.10975544469</v>
      </c>
      <c r="R71" s="40">
        <f t="shared" si="29"/>
        <v>273565.41964568727</v>
      </c>
      <c r="S71" s="40">
        <f t="shared" si="29"/>
        <v>278553.97105236136</v>
      </c>
      <c r="T71" s="40">
        <f t="shared" si="29"/>
        <v>283383.91378004814</v>
      </c>
      <c r="U71" s="40">
        <f t="shared" si="29"/>
        <v>288045.16550228832</v>
      </c>
      <c r="V71" s="40">
        <f t="shared" si="29"/>
        <v>292465.11190351215</v>
      </c>
      <c r="W71" s="40">
        <f t="shared" si="29"/>
        <v>296616.12513907428</v>
      </c>
      <c r="X71" s="40">
        <f t="shared" si="29"/>
        <v>300490.73454345111</v>
      </c>
      <c r="Y71" s="40">
        <f t="shared" si="29"/>
        <v>304214.61812095949</v>
      </c>
      <c r="Z71" s="40">
        <f t="shared" si="29"/>
        <v>307661.3544528581</v>
      </c>
      <c r="AA71" s="40">
        <f t="shared" si="29"/>
        <v>310808.97262742132</v>
      </c>
      <c r="AB71" s="40">
        <f t="shared" si="29"/>
        <v>313666.45773502131</v>
      </c>
    </row>
    <row r="72" spans="1:28" x14ac:dyDescent="0.25">
      <c r="A72" s="4" t="s">
        <v>333</v>
      </c>
      <c r="B72" s="40">
        <f t="shared" ref="B72:AB72" si="30">B60+B61+B62+B63</f>
        <v>203386.86622699624</v>
      </c>
      <c r="C72" s="40">
        <f t="shared" si="30"/>
        <v>207588.2045397551</v>
      </c>
      <c r="D72" s="40">
        <f t="shared" si="30"/>
        <v>210629.46120729888</v>
      </c>
      <c r="E72" s="40">
        <f t="shared" si="30"/>
        <v>213715.72184723444</v>
      </c>
      <c r="F72" s="40">
        <f t="shared" si="30"/>
        <v>216888.92698192995</v>
      </c>
      <c r="G72" s="40">
        <f t="shared" si="30"/>
        <v>220155.91459526453</v>
      </c>
      <c r="H72" s="40">
        <f t="shared" si="30"/>
        <v>223519.78741568342</v>
      </c>
      <c r="I72" s="40">
        <f t="shared" si="30"/>
        <v>228636.42465954277</v>
      </c>
      <c r="J72" s="40">
        <f t="shared" si="30"/>
        <v>233857.13560215587</v>
      </c>
      <c r="K72" s="40">
        <f t="shared" si="30"/>
        <v>239150.5823546318</v>
      </c>
      <c r="L72" s="40">
        <f t="shared" si="30"/>
        <v>244504.80794912591</v>
      </c>
      <c r="M72" s="40">
        <f t="shared" si="30"/>
        <v>249910.84687249837</v>
      </c>
      <c r="N72" s="40">
        <f t="shared" si="30"/>
        <v>255331.24087704232</v>
      </c>
      <c r="O72" s="40">
        <f t="shared" si="30"/>
        <v>260734.31024298424</v>
      </c>
      <c r="P72" s="40">
        <f t="shared" si="30"/>
        <v>266096.50909589435</v>
      </c>
      <c r="Q72" s="40">
        <f t="shared" si="30"/>
        <v>271376.92195197305</v>
      </c>
      <c r="R72" s="40">
        <f t="shared" si="30"/>
        <v>276542.17911268951</v>
      </c>
      <c r="S72" s="40">
        <f t="shared" si="30"/>
        <v>281467.91100305063</v>
      </c>
      <c r="T72" s="40">
        <f t="shared" si="30"/>
        <v>286227.77349304158</v>
      </c>
      <c r="U72" s="40">
        <f t="shared" si="30"/>
        <v>290813.96690980939</v>
      </c>
      <c r="V72" s="40">
        <f t="shared" si="30"/>
        <v>295152.18657451979</v>
      </c>
      <c r="W72" s="40">
        <f t="shared" si="30"/>
        <v>299212.07143250632</v>
      </c>
      <c r="X72" s="40">
        <f t="shared" si="30"/>
        <v>302985.88666349737</v>
      </c>
      <c r="Y72" s="40">
        <f t="shared" si="30"/>
        <v>306603.17218830111</v>
      </c>
      <c r="Z72" s="40">
        <f t="shared" si="30"/>
        <v>309933.92202534608</v>
      </c>
      <c r="AA72" s="40">
        <f t="shared" si="30"/>
        <v>312955.61998071178</v>
      </c>
      <c r="AB72" s="40">
        <f t="shared" si="30"/>
        <v>315676.72799495887</v>
      </c>
    </row>
    <row r="73" spans="1:28" x14ac:dyDescent="0.25">
      <c r="A73" s="4" t="s">
        <v>334</v>
      </c>
      <c r="B73" s="40">
        <f t="shared" ref="B73:AB73" si="31">B64+B65</f>
        <v>187419.90974755364</v>
      </c>
      <c r="C73" s="40">
        <f t="shared" si="31"/>
        <v>191519.2562017396</v>
      </c>
      <c r="D73" s="40">
        <f t="shared" si="31"/>
        <v>194560.95471218412</v>
      </c>
      <c r="E73" s="40">
        <f t="shared" si="31"/>
        <v>197658.28480941022</v>
      </c>
      <c r="F73" s="40">
        <f t="shared" si="31"/>
        <v>200845.18775284715</v>
      </c>
      <c r="G73" s="40">
        <f t="shared" si="31"/>
        <v>204130.88188560549</v>
      </c>
      <c r="H73" s="40">
        <f t="shared" si="31"/>
        <v>207521.13642785198</v>
      </c>
      <c r="I73" s="40">
        <f t="shared" si="31"/>
        <v>212556.07539327332</v>
      </c>
      <c r="J73" s="40">
        <f t="shared" si="31"/>
        <v>217703.28305214382</v>
      </c>
      <c r="K73" s="40">
        <f t="shared" si="31"/>
        <v>222940.04306500911</v>
      </c>
      <c r="L73" s="40">
        <f t="shared" si="31"/>
        <v>228258.39612328951</v>
      </c>
      <c r="M73" s="40">
        <f t="shared" si="31"/>
        <v>233647.33566213748</v>
      </c>
      <c r="N73" s="40">
        <f t="shared" si="31"/>
        <v>239076.90420047758</v>
      </c>
      <c r="O73" s="40">
        <f t="shared" si="31"/>
        <v>244518.09595364565</v>
      </c>
      <c r="P73" s="40">
        <f t="shared" si="31"/>
        <v>249949.42854673666</v>
      </c>
      <c r="Q73" s="40">
        <f t="shared" si="31"/>
        <v>255336.36837418709</v>
      </c>
      <c r="R73" s="40">
        <f t="shared" si="31"/>
        <v>260645.93494193035</v>
      </c>
      <c r="S73" s="40">
        <f t="shared" si="31"/>
        <v>265761.17338649323</v>
      </c>
      <c r="T73" s="40">
        <f t="shared" si="31"/>
        <v>270754.8713869786</v>
      </c>
      <c r="U73" s="40">
        <f t="shared" si="31"/>
        <v>275617.17086489504</v>
      </c>
      <c r="V73" s="40">
        <f t="shared" si="31"/>
        <v>280281.19785370323</v>
      </c>
      <c r="W73" s="40">
        <f t="shared" si="31"/>
        <v>284719.95875152264</v>
      </c>
      <c r="X73" s="40">
        <f t="shared" si="31"/>
        <v>288929.47331754374</v>
      </c>
      <c r="Y73" s="40">
        <f t="shared" si="31"/>
        <v>293016.56146910944</v>
      </c>
      <c r="Z73" s="40">
        <f t="shared" si="31"/>
        <v>296868.99225358007</v>
      </c>
      <c r="AA73" s="40">
        <f t="shared" si="31"/>
        <v>300462.05143316207</v>
      </c>
      <c r="AB73" s="40">
        <f t="shared" si="31"/>
        <v>303802.96732860513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645.35354503696306</v>
      </c>
      <c r="C2" s="37">
        <f>BDbDT_calcs!C48</f>
        <v>642.96774182114098</v>
      </c>
      <c r="D2" s="37">
        <f>BDbDT_calcs!D48</f>
        <v>636.9719202027876</v>
      </c>
      <c r="E2" s="37">
        <f>BDbDT_calcs!E48</f>
        <v>631.07409331379949</v>
      </c>
      <c r="F2" s="37">
        <f>BDbDT_calcs!F48</f>
        <v>625.14091836414616</v>
      </c>
      <c r="G2" s="37">
        <f>BDbDT_calcs!G48</f>
        <v>619.17323950816115</v>
      </c>
      <c r="H2" s="37">
        <f>BDbDT_calcs!H48</f>
        <v>613.1750490157242</v>
      </c>
      <c r="I2" s="37">
        <f>BDbDT_calcs!I48</f>
        <v>611.96829744061074</v>
      </c>
      <c r="J2" s="37">
        <f>BDbDT_calcs!J48</f>
        <v>610.2874277073945</v>
      </c>
      <c r="K2" s="37">
        <f>BDbDT_calcs!K48</f>
        <v>608.66110982769703</v>
      </c>
      <c r="L2" s="37">
        <f>BDbDT_calcs!L48</f>
        <v>606.60193284463742</v>
      </c>
      <c r="M2" s="37">
        <f>BDbDT_calcs!M48</f>
        <v>604.59802242652313</v>
      </c>
      <c r="N2" s="37">
        <f>BDbDT_calcs!N48</f>
        <v>602.72318074651537</v>
      </c>
      <c r="O2" s="37">
        <f>BDbDT_calcs!O48</f>
        <v>599.97882502265657</v>
      </c>
      <c r="P2" s="37">
        <f>BDbDT_calcs!P48</f>
        <v>597.42928807419617</v>
      </c>
      <c r="Q2" s="37">
        <f>BDbDT_calcs!Q48</f>
        <v>594.42432057748488</v>
      </c>
      <c r="R2" s="37">
        <f>BDbDT_calcs!R48</f>
        <v>591.31849632397189</v>
      </c>
      <c r="S2" s="37">
        <f>BDbDT_calcs!S48</f>
        <v>587.75332171684329</v>
      </c>
      <c r="T2" s="37">
        <f>BDbDT_calcs!T48</f>
        <v>584.15594169730628</v>
      </c>
      <c r="U2" s="37">
        <f>BDbDT_calcs!U48</f>
        <v>580.52061022399255</v>
      </c>
      <c r="V2" s="37">
        <f>BDbDT_calcs!V48</f>
        <v>576.83967153232436</v>
      </c>
      <c r="W2" s="37">
        <f>BDbDT_calcs!W48</f>
        <v>573.18030814969768</v>
      </c>
      <c r="X2" s="37">
        <f>BDbDT_calcs!X48</f>
        <v>570.06917696796427</v>
      </c>
      <c r="Y2" s="37">
        <f>BDbDT_calcs!Y48</f>
        <v>566.8993365347136</v>
      </c>
      <c r="Z2" s="37">
        <f>BDbDT_calcs!Z48</f>
        <v>564.04952868879752</v>
      </c>
      <c r="AA2" s="37">
        <f>BDbDT_calcs!AA48</f>
        <v>561.20856121792508</v>
      </c>
      <c r="AB2" s="37">
        <f>BDbDT_calcs!AB48</f>
        <v>558.29202795649906</v>
      </c>
    </row>
    <row r="3" spans="1:28" x14ac:dyDescent="0.25">
      <c r="A3" s="4" t="s">
        <v>216</v>
      </c>
      <c r="B3" s="37">
        <f>BDbDT_calcs!B49</f>
        <v>523.06412793073503</v>
      </c>
      <c r="C3" s="37">
        <f>BDbDT_calcs!C49</f>
        <v>522.22292726737828</v>
      </c>
      <c r="D3" s="37">
        <f>BDbDT_calcs!D49</f>
        <v>518.50792351083476</v>
      </c>
      <c r="E3" s="37">
        <f>BDbDT_calcs!E49</f>
        <v>514.79928622428713</v>
      </c>
      <c r="F3" s="37">
        <f>BDbDT_calcs!F49</f>
        <v>511.03114127162382</v>
      </c>
      <c r="G3" s="37">
        <f>BDbDT_calcs!G49</f>
        <v>507.34389576862895</v>
      </c>
      <c r="H3" s="37">
        <f>BDbDT_calcs!H49</f>
        <v>503.67143486374812</v>
      </c>
      <c r="I3" s="37">
        <f>BDbDT_calcs!I49</f>
        <v>503.42214948851495</v>
      </c>
      <c r="J3" s="37">
        <f>BDbDT_calcs!J49</f>
        <v>503.4025935610037</v>
      </c>
      <c r="K3" s="37">
        <f>BDbDT_calcs!K49</f>
        <v>502.9633036206227</v>
      </c>
      <c r="L3" s="37">
        <f>BDbDT_calcs!L49</f>
        <v>502.6689973648011</v>
      </c>
      <c r="M3" s="37">
        <f>BDbDT_calcs!M49</f>
        <v>501.94995039889358</v>
      </c>
      <c r="N3" s="37">
        <f>BDbDT_calcs!N49</f>
        <v>500.87120033591839</v>
      </c>
      <c r="O3" s="37">
        <f>BDbDT_calcs!O49</f>
        <v>500.15467162115118</v>
      </c>
      <c r="P3" s="37">
        <f>BDbDT_calcs!P49</f>
        <v>498.70884978981059</v>
      </c>
      <c r="Q3" s="37">
        <f>BDbDT_calcs!Q49</f>
        <v>497.40377594649823</v>
      </c>
      <c r="R3" s="37">
        <f>BDbDT_calcs!R49</f>
        <v>495.72088415653587</v>
      </c>
      <c r="S3" s="37">
        <f>BDbDT_calcs!S49</f>
        <v>493.85091738243176</v>
      </c>
      <c r="T3" s="37">
        <f>BDbDT_calcs!T49</f>
        <v>491.81860345615485</v>
      </c>
      <c r="U3" s="37">
        <f>BDbDT_calcs!U49</f>
        <v>489.76814763908192</v>
      </c>
      <c r="V3" s="37">
        <f>BDbDT_calcs!V49</f>
        <v>487.84626672578514</v>
      </c>
      <c r="W3" s="37">
        <f>BDbDT_calcs!W49</f>
        <v>485.97234432776082</v>
      </c>
      <c r="X3" s="37">
        <f>BDbDT_calcs!X49</f>
        <v>483.98600834797344</v>
      </c>
      <c r="Y3" s="37">
        <f>BDbDT_calcs!Y49</f>
        <v>482.27134727210802</v>
      </c>
      <c r="Z3" s="37">
        <f>BDbDT_calcs!Z49</f>
        <v>480.43541328937505</v>
      </c>
      <c r="AA3" s="37">
        <f>BDbDT_calcs!AA49</f>
        <v>478.7866110142258</v>
      </c>
      <c r="AB3" s="37">
        <f>BDbDT_calcs!AB49</f>
        <v>477.56275621581779</v>
      </c>
    </row>
    <row r="4" spans="1:28" x14ac:dyDescent="0.25">
      <c r="A4" s="4" t="s">
        <v>217</v>
      </c>
      <c r="B4" s="37">
        <f>BDbDT_calcs!B50</f>
        <v>693.01513305187552</v>
      </c>
      <c r="C4" s="37">
        <f>BDbDT_calcs!C50</f>
        <v>691.11455695354198</v>
      </c>
      <c r="D4" s="37">
        <f>BDbDT_calcs!D50</f>
        <v>685.47945642194964</v>
      </c>
      <c r="E4" s="37">
        <f>BDbDT_calcs!E50</f>
        <v>679.80655306320489</v>
      </c>
      <c r="F4" s="37">
        <f>BDbDT_calcs!F50</f>
        <v>674.17101318286552</v>
      </c>
      <c r="G4" s="37">
        <f>BDbDT_calcs!G50</f>
        <v>668.64391904279103</v>
      </c>
      <c r="H4" s="37">
        <f>BDbDT_calcs!H50</f>
        <v>662.94906481466319</v>
      </c>
      <c r="I4" s="37">
        <f>BDbDT_calcs!I50</f>
        <v>662.28617713344693</v>
      </c>
      <c r="J4" s="37">
        <f>BDbDT_calcs!J50</f>
        <v>661.28824498252709</v>
      </c>
      <c r="K4" s="37">
        <f>BDbDT_calcs!K50</f>
        <v>659.99881808930013</v>
      </c>
      <c r="L4" s="37">
        <f>BDbDT_calcs!L50</f>
        <v>658.34319165322688</v>
      </c>
      <c r="M4" s="37">
        <f>BDbDT_calcs!M50</f>
        <v>656.31646341276087</v>
      </c>
      <c r="N4" s="37">
        <f>BDbDT_calcs!N50</f>
        <v>653.91279598729</v>
      </c>
      <c r="O4" s="37">
        <f>BDbDT_calcs!O50</f>
        <v>650.90577600458835</v>
      </c>
      <c r="P4" s="37">
        <f>BDbDT_calcs!P50</f>
        <v>647.57924826311944</v>
      </c>
      <c r="Q4" s="37">
        <f>BDbDT_calcs!Q50</f>
        <v>643.85125269810351</v>
      </c>
      <c r="R4" s="37">
        <f>BDbDT_calcs!R50</f>
        <v>639.71165629316511</v>
      </c>
      <c r="S4" s="37">
        <f>BDbDT_calcs!S50</f>
        <v>635.0767819385361</v>
      </c>
      <c r="T4" s="37">
        <f>BDbDT_calcs!T50</f>
        <v>630.39637442183766</v>
      </c>
      <c r="U4" s="37">
        <f>BDbDT_calcs!U50</f>
        <v>625.66394725638906</v>
      </c>
      <c r="V4" s="37">
        <f>BDbDT_calcs!V50</f>
        <v>620.94804498374583</v>
      </c>
      <c r="W4" s="37">
        <f>BDbDT_calcs!W50</f>
        <v>616.39609102545978</v>
      </c>
      <c r="X4" s="37">
        <f>BDbDT_calcs!X50</f>
        <v>612.08167984840043</v>
      </c>
      <c r="Y4" s="37">
        <f>BDbDT_calcs!Y50</f>
        <v>607.84780861205979</v>
      </c>
      <c r="Z4" s="37">
        <f>BDbDT_calcs!Z50</f>
        <v>603.76842171767021</v>
      </c>
      <c r="AA4" s="37">
        <f>BDbDT_calcs!AA50</f>
        <v>599.99964364106881</v>
      </c>
      <c r="AB4" s="37">
        <f>BDbDT_calcs!AB50</f>
        <v>596.38086358732392</v>
      </c>
    </row>
    <row r="5" spans="1:28" x14ac:dyDescent="0.25">
      <c r="A5" s="4" t="s">
        <v>218</v>
      </c>
      <c r="B5" s="37">
        <f>BDbDT_calcs!B51</f>
        <v>400.06737067224662</v>
      </c>
      <c r="C5" s="37">
        <f>BDbDT_calcs!C51</f>
        <v>396.20960679465338</v>
      </c>
      <c r="D5" s="37">
        <f>BDbDT_calcs!D51</f>
        <v>390.2499900594205</v>
      </c>
      <c r="E5" s="37">
        <f>BDbDT_calcs!E51</f>
        <v>384.18639614801037</v>
      </c>
      <c r="F5" s="37">
        <f>BDbDT_calcs!F51</f>
        <v>378.02087734118913</v>
      </c>
      <c r="G5" s="37">
        <f>BDbDT_calcs!G51</f>
        <v>371.92394722456322</v>
      </c>
      <c r="H5" s="37">
        <f>BDbDT_calcs!H51</f>
        <v>365.6407906750652</v>
      </c>
      <c r="I5" s="37">
        <f>BDbDT_calcs!I51</f>
        <v>362.16299325032065</v>
      </c>
      <c r="J5" s="37">
        <f>BDbDT_calcs!J51</f>
        <v>358.65554922447836</v>
      </c>
      <c r="K5" s="37">
        <f>BDbDT_calcs!K51</f>
        <v>355.10601696271056</v>
      </c>
      <c r="L5" s="37">
        <f>BDbDT_calcs!L51</f>
        <v>351.69014360632195</v>
      </c>
      <c r="M5" s="37">
        <f>BDbDT_calcs!M51</f>
        <v>348.49990656664477</v>
      </c>
      <c r="N5" s="37">
        <f>BDbDT_calcs!N51</f>
        <v>345.27450219944592</v>
      </c>
      <c r="O5" s="37">
        <f>BDbDT_calcs!O51</f>
        <v>342.28186995125918</v>
      </c>
      <c r="P5" s="37">
        <f>BDbDT_calcs!P51</f>
        <v>339.25721384126479</v>
      </c>
      <c r="Q5" s="37">
        <f>BDbDT_calcs!Q51</f>
        <v>336.38047039722596</v>
      </c>
      <c r="R5" s="37">
        <f>BDbDT_calcs!R51</f>
        <v>333.56262875978666</v>
      </c>
      <c r="S5" s="37">
        <f>BDbDT_calcs!S51</f>
        <v>330.59543883862142</v>
      </c>
      <c r="T5" s="37">
        <f>BDbDT_calcs!T51</f>
        <v>327.68940440701283</v>
      </c>
      <c r="U5" s="37">
        <f>BDbDT_calcs!U51</f>
        <v>324.74977233793794</v>
      </c>
      <c r="V5" s="37">
        <f>BDbDT_calcs!V51</f>
        <v>321.9594681793136</v>
      </c>
      <c r="W5" s="37">
        <f>BDbDT_calcs!W51</f>
        <v>319.03416602918492</v>
      </c>
      <c r="X5" s="37">
        <f>BDbDT_calcs!X51</f>
        <v>316.25209552120339</v>
      </c>
      <c r="Y5" s="37">
        <f>BDbDT_calcs!Y51</f>
        <v>313.70970996896847</v>
      </c>
      <c r="Z5" s="37">
        <f>BDbDT_calcs!Z51</f>
        <v>311.11921373541009</v>
      </c>
      <c r="AA5" s="37">
        <f>BDbDT_calcs!AA51</f>
        <v>308.67034722265231</v>
      </c>
      <c r="AB5" s="37">
        <f>BDbDT_calcs!AB51</f>
        <v>306.1672745325431</v>
      </c>
    </row>
    <row r="6" spans="1:28" x14ac:dyDescent="0.25">
      <c r="A6" s="4" t="s">
        <v>219</v>
      </c>
      <c r="B6" s="37">
        <f>BDbDT_calcs!B52</f>
        <v>31.273220553492727</v>
      </c>
      <c r="C6" s="37">
        <f>BDbDT_calcs!C52</f>
        <v>31.503846334908154</v>
      </c>
      <c r="D6" s="37">
        <f>BDbDT_calcs!D52</f>
        <v>31.561736493638183</v>
      </c>
      <c r="E6" s="37">
        <f>BDbDT_calcs!E52</f>
        <v>31.659720321311188</v>
      </c>
      <c r="F6" s="37">
        <f>BDbDT_calcs!F52</f>
        <v>31.761678190000438</v>
      </c>
      <c r="G6" s="37">
        <f>BDbDT_calcs!G52</f>
        <v>31.867793864107949</v>
      </c>
      <c r="H6" s="37">
        <f>BDbDT_calcs!H52</f>
        <v>31.978427797772643</v>
      </c>
      <c r="I6" s="37">
        <f>BDbDT_calcs!I52</f>
        <v>32.330452387267243</v>
      </c>
      <c r="J6" s="37">
        <f>BDbDT_calcs!J52</f>
        <v>32.688459616465948</v>
      </c>
      <c r="K6" s="37">
        <f>BDbDT_calcs!K52</f>
        <v>33.125411539753891</v>
      </c>
      <c r="L6" s="37">
        <f>BDbDT_calcs!L52</f>
        <v>33.494353332699056</v>
      </c>
      <c r="M6" s="37">
        <f>BDbDT_calcs!M52</f>
        <v>33.868916171957338</v>
      </c>
      <c r="N6" s="37">
        <f>BDbDT_calcs!N52</f>
        <v>34.249331667392838</v>
      </c>
      <c r="O6" s="37">
        <f>BDbDT_calcs!O52</f>
        <v>34.635839211332019</v>
      </c>
      <c r="P6" s="37">
        <f>BDbDT_calcs!P52</f>
        <v>34.990441513246708</v>
      </c>
      <c r="Q6" s="37">
        <f>BDbDT_calcs!Q52</f>
        <v>35.389403561608646</v>
      </c>
      <c r="R6" s="37">
        <f>BDbDT_calcs!R52</f>
        <v>35.717404342646596</v>
      </c>
      <c r="S6" s="37">
        <f>BDbDT_calcs!S52</f>
        <v>36.077183980123813</v>
      </c>
      <c r="T6" s="37">
        <f>BDbDT_calcs!T52</f>
        <v>36.482193423312985</v>
      </c>
      <c r="U6" s="37">
        <f>BDbDT_calcs!U52</f>
        <v>36.814474175607906</v>
      </c>
      <c r="V6" s="37">
        <f>BDbDT_calcs!V52</f>
        <v>37.191554288481015</v>
      </c>
      <c r="W6" s="37">
        <f>BDbDT_calcs!W52</f>
        <v>37.573801434781672</v>
      </c>
      <c r="X6" s="37">
        <f>BDbDT_calcs!X52</f>
        <v>37.920434160540587</v>
      </c>
      <c r="Y6" s="37">
        <f>BDbDT_calcs!Y52</f>
        <v>38.352378490105913</v>
      </c>
      <c r="Z6" s="37">
        <f>BDbDT_calcs!Z52</f>
        <v>38.707116519367894</v>
      </c>
      <c r="AA6" s="37">
        <f>BDbDT_calcs!AA52</f>
        <v>39.064973891642971</v>
      </c>
      <c r="AB6" s="37">
        <f>BDbDT_calcs!AB52</f>
        <v>39.425497731686789</v>
      </c>
    </row>
    <row r="7" spans="1:28" x14ac:dyDescent="0.25">
      <c r="A7" s="4" t="s">
        <v>220</v>
      </c>
      <c r="B7" s="37">
        <f>BDbDT_calcs!B53</f>
        <v>73.343004018733396</v>
      </c>
      <c r="C7" s="37">
        <f>BDbDT_calcs!C53</f>
        <v>74.257871206710419</v>
      </c>
      <c r="D7" s="37">
        <f>BDbDT_calcs!D53</f>
        <v>74.621143013301463</v>
      </c>
      <c r="E7" s="37">
        <f>BDbDT_calcs!E53</f>
        <v>75.08926286469233</v>
      </c>
      <c r="F7" s="37">
        <f>BDbDT_calcs!F53</f>
        <v>75.517847567947129</v>
      </c>
      <c r="G7" s="37">
        <f>BDbDT_calcs!G53</f>
        <v>75.859384221225923</v>
      </c>
      <c r="H7" s="37">
        <f>BDbDT_calcs!H53</f>
        <v>76.404168501610044</v>
      </c>
      <c r="I7" s="37">
        <f>BDbDT_calcs!I53</f>
        <v>77.333259467130517</v>
      </c>
      <c r="J7" s="37">
        <f>BDbDT_calcs!J53</f>
        <v>78.326596312816676</v>
      </c>
      <c r="K7" s="37">
        <f>BDbDT_calcs!K53</f>
        <v>79.186535619196306</v>
      </c>
      <c r="L7" s="37">
        <f>BDbDT_calcs!L53</f>
        <v>80.108626787221638</v>
      </c>
      <c r="M7" s="37">
        <f>BDbDT_calcs!M53</f>
        <v>80.895348719561326</v>
      </c>
      <c r="N7" s="37">
        <f>BDbDT_calcs!N53</f>
        <v>81.794827080536621</v>
      </c>
      <c r="O7" s="37">
        <f>BDbDT_calcs!O53</f>
        <v>82.607805082819539</v>
      </c>
      <c r="P7" s="37">
        <f>BDbDT_calcs!P53</f>
        <v>83.332663502738498</v>
      </c>
      <c r="Q7" s="37">
        <f>BDbDT_calcs!Q53</f>
        <v>83.967546453028902</v>
      </c>
      <c r="R7" s="37">
        <f>BDbDT_calcs!R53</f>
        <v>84.613486053672332</v>
      </c>
      <c r="S7" s="37">
        <f>BDbDT_calcs!S53</f>
        <v>85.18860713302854</v>
      </c>
      <c r="T7" s="37">
        <f>BDbDT_calcs!T53</f>
        <v>85.565086008705222</v>
      </c>
      <c r="U7" s="37">
        <f>BDbDT_calcs!U53</f>
        <v>86.05372738324084</v>
      </c>
      <c r="V7" s="37">
        <f>BDbDT_calcs!V53</f>
        <v>86.44404344524564</v>
      </c>
      <c r="W7" s="37">
        <f>BDbDT_calcs!W53</f>
        <v>86.839519514061195</v>
      </c>
      <c r="X7" s="37">
        <f>BDbDT_calcs!X53</f>
        <v>87.346542013255956</v>
      </c>
      <c r="Y7" s="37">
        <f>BDbDT_calcs!Y53</f>
        <v>87.696263769988249</v>
      </c>
      <c r="Z7" s="37">
        <f>BDbDT_calcs!Z53</f>
        <v>88.211117973030071</v>
      </c>
      <c r="AA7" s="37">
        <f>BDbDT_calcs!AA53</f>
        <v>88.564271780625162</v>
      </c>
      <c r="AB7" s="37">
        <f>BDbDT_calcs!AB53</f>
        <v>89.082721443708024</v>
      </c>
    </row>
    <row r="8" spans="1:28" x14ac:dyDescent="0.25">
      <c r="A8" s="4" t="s">
        <v>221</v>
      </c>
      <c r="B8" s="37">
        <f>BDbDT_calcs!B54</f>
        <v>390.60028123035642</v>
      </c>
      <c r="C8" s="37">
        <f>BDbDT_calcs!C54</f>
        <v>393.74791315736928</v>
      </c>
      <c r="D8" s="37">
        <f>BDbDT_calcs!D54</f>
        <v>394.94105977418394</v>
      </c>
      <c r="E8" s="37">
        <f>BDbDT_calcs!E54</f>
        <v>396.28136880372296</v>
      </c>
      <c r="F8" s="37">
        <f>BDbDT_calcs!F54</f>
        <v>397.97597875168475</v>
      </c>
      <c r="G8" s="37">
        <f>BDbDT_calcs!G54</f>
        <v>399.31559169939413</v>
      </c>
      <c r="H8" s="37">
        <f>BDbDT_calcs!H54</f>
        <v>400.61040262887582</v>
      </c>
      <c r="I8" s="37">
        <f>BDbDT_calcs!I54</f>
        <v>404.82670198603103</v>
      </c>
      <c r="J8" s="37">
        <f>BDbDT_calcs!J54</f>
        <v>408.90998685066518</v>
      </c>
      <c r="K8" s="37">
        <f>BDbDT_calcs!K54</f>
        <v>412.8449132108251</v>
      </c>
      <c r="L8" s="37">
        <f>BDbDT_calcs!L54</f>
        <v>416.52654017378603</v>
      </c>
      <c r="M8" s="37">
        <f>BDbDT_calcs!M54</f>
        <v>419.95158141722453</v>
      </c>
      <c r="N8" s="37">
        <f>BDbDT_calcs!N54</f>
        <v>423.11621417120062</v>
      </c>
      <c r="O8" s="37">
        <f>BDbDT_calcs!O54</f>
        <v>426.01646811326981</v>
      </c>
      <c r="P8" s="37">
        <f>BDbDT_calcs!P54</f>
        <v>428.32680870685317</v>
      </c>
      <c r="Q8" s="37">
        <f>BDbDT_calcs!Q54</f>
        <v>430.35780494086839</v>
      </c>
      <c r="R8" s="37">
        <f>BDbDT_calcs!R54</f>
        <v>431.7774280326293</v>
      </c>
      <c r="S8" s="37">
        <f>BDbDT_calcs!S54</f>
        <v>433.07428446359921</v>
      </c>
      <c r="T8" s="37">
        <f>BDbDT_calcs!T54</f>
        <v>433.96144056965574</v>
      </c>
      <c r="U8" s="37">
        <f>BDbDT_calcs!U54</f>
        <v>434.4268985241693</v>
      </c>
      <c r="V8" s="37">
        <f>BDbDT_calcs!V54</f>
        <v>434.90278705579141</v>
      </c>
      <c r="W8" s="37">
        <f>BDbDT_calcs!W54</f>
        <v>434.8223213669317</v>
      </c>
      <c r="X8" s="37">
        <f>BDbDT_calcs!X54</f>
        <v>435.29855601409071</v>
      </c>
      <c r="Y8" s="37">
        <f>BDbDT_calcs!Y54</f>
        <v>435.65666625336888</v>
      </c>
      <c r="Z8" s="37">
        <f>BDbDT_calcs!Z54</f>
        <v>436.00343625230329</v>
      </c>
      <c r="AA8" s="37">
        <f>BDbDT_calcs!AA54</f>
        <v>436.4487354559692</v>
      </c>
      <c r="AB8" s="37">
        <f>BDbDT_calcs!AB54</f>
        <v>437.1057669577059</v>
      </c>
    </row>
    <row r="9" spans="1:28" x14ac:dyDescent="0.25">
      <c r="A9" s="4" t="s">
        <v>222</v>
      </c>
      <c r="B9" s="37">
        <f>BDbDT_calcs!B55</f>
        <v>800.82207312647688</v>
      </c>
      <c r="C9" s="37">
        <f>BDbDT_calcs!C55</f>
        <v>796.05585127854818</v>
      </c>
      <c r="D9" s="37">
        <f>BDbDT_calcs!D55</f>
        <v>786.71693852707438</v>
      </c>
      <c r="E9" s="37">
        <f>BDbDT_calcs!E55</f>
        <v>777.38251129465073</v>
      </c>
      <c r="F9" s="37">
        <f>BDbDT_calcs!F55</f>
        <v>767.75080913206091</v>
      </c>
      <c r="G9" s="37">
        <f>BDbDT_calcs!G55</f>
        <v>758.37320500279793</v>
      </c>
      <c r="H9" s="37">
        <f>BDbDT_calcs!H55</f>
        <v>749.00832468607427</v>
      </c>
      <c r="I9" s="37">
        <f>BDbDT_calcs!I55</f>
        <v>745.17172087272047</v>
      </c>
      <c r="J9" s="37">
        <f>BDbDT_calcs!J55</f>
        <v>741.19361253648719</v>
      </c>
      <c r="K9" s="37">
        <f>BDbDT_calcs!K55</f>
        <v>736.98475222935394</v>
      </c>
      <c r="L9" s="37">
        <f>BDbDT_calcs!L55</f>
        <v>732.6692230748954</v>
      </c>
      <c r="M9" s="37">
        <f>BDbDT_calcs!M55</f>
        <v>728.18436993967725</v>
      </c>
      <c r="N9" s="37">
        <f>BDbDT_calcs!N55</f>
        <v>723.65556990286075</v>
      </c>
      <c r="O9" s="37">
        <f>BDbDT_calcs!O55</f>
        <v>718.82763681729671</v>
      </c>
      <c r="P9" s="37">
        <f>BDbDT_calcs!P55</f>
        <v>713.88818260492849</v>
      </c>
      <c r="Q9" s="37">
        <f>BDbDT_calcs!Q55</f>
        <v>708.8338636623962</v>
      </c>
      <c r="R9" s="37">
        <f>BDbDT_calcs!R55</f>
        <v>703.72570082344657</v>
      </c>
      <c r="S9" s="37">
        <f>BDbDT_calcs!S55</f>
        <v>698.11678495032766</v>
      </c>
      <c r="T9" s="37">
        <f>BDbDT_calcs!T55</f>
        <v>692.58321702112141</v>
      </c>
      <c r="U9" s="37">
        <f>BDbDT_calcs!U55</f>
        <v>687.25381160690904</v>
      </c>
      <c r="V9" s="37">
        <f>BDbDT_calcs!V55</f>
        <v>681.99037074359831</v>
      </c>
      <c r="W9" s="37">
        <f>BDbDT_calcs!W55</f>
        <v>677.12345780576106</v>
      </c>
      <c r="X9" s="37">
        <f>BDbDT_calcs!X55</f>
        <v>672.3121404502424</v>
      </c>
      <c r="Y9" s="37">
        <f>BDbDT_calcs!Y55</f>
        <v>667.75826699207187</v>
      </c>
      <c r="Z9" s="37">
        <f>BDbDT_calcs!Z55</f>
        <v>663.39051982362332</v>
      </c>
      <c r="AA9" s="37">
        <f>BDbDT_calcs!AA55</f>
        <v>659.13576345952902</v>
      </c>
      <c r="AB9" s="37">
        <f>BDbDT_calcs!AB55</f>
        <v>655.05939765890571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102336.16179931691</v>
      </c>
      <c r="C2" s="37">
        <f>BDbDT_calcs!C58</f>
        <v>104604.17409205588</v>
      </c>
      <c r="D2" s="37">
        <f>BDbDT_calcs!D58</f>
        <v>106286.54490540428</v>
      </c>
      <c r="E2" s="37">
        <f>BDbDT_calcs!E58</f>
        <v>107969.32470760333</v>
      </c>
      <c r="F2" s="37">
        <f>BDbDT_calcs!F58</f>
        <v>109661.86079634576</v>
      </c>
      <c r="G2" s="37">
        <f>BDbDT_calcs!G58</f>
        <v>111367.47220367347</v>
      </c>
      <c r="H2" s="37">
        <f>BDbDT_calcs!H58</f>
        <v>113078.62743519427</v>
      </c>
      <c r="I2" s="37">
        <f>BDbDT_calcs!I58</f>
        <v>115634.55118819955</v>
      </c>
      <c r="J2" s="37">
        <f>BDbDT_calcs!J58</f>
        <v>118194.06343925858</v>
      </c>
      <c r="K2" s="37">
        <f>BDbDT_calcs!K58</f>
        <v>120754.66899636481</v>
      </c>
      <c r="L2" s="37">
        <f>BDbDT_calcs!L58</f>
        <v>123305.61649747581</v>
      </c>
      <c r="M2" s="37">
        <f>BDbDT_calcs!M58</f>
        <v>125844.1426373537</v>
      </c>
      <c r="N2" s="37">
        <f>BDbDT_calcs!N58</f>
        <v>128356.56309210982</v>
      </c>
      <c r="O2" s="37">
        <f>BDbDT_calcs!O58</f>
        <v>130836.99632925433</v>
      </c>
      <c r="P2" s="37">
        <f>BDbDT_calcs!P58</f>
        <v>133267.40604963238</v>
      </c>
      <c r="Q2" s="37">
        <f>BDbDT_calcs!Q58</f>
        <v>135643.56303312443</v>
      </c>
      <c r="R2" s="37">
        <f>BDbDT_calcs!R58</f>
        <v>137943.15913861952</v>
      </c>
      <c r="S2" s="37">
        <f>BDbDT_calcs!S58</f>
        <v>140116.06216849101</v>
      </c>
      <c r="T2" s="37">
        <f>BDbDT_calcs!T58</f>
        <v>142201.52795684204</v>
      </c>
      <c r="U2" s="37">
        <f>BDbDT_calcs!U58</f>
        <v>144204.79852259712</v>
      </c>
      <c r="V2" s="37">
        <f>BDbDT_calcs!V58</f>
        <v>146088.61244734444</v>
      </c>
      <c r="W2" s="37">
        <f>BDbDT_calcs!W58</f>
        <v>147858.41295791461</v>
      </c>
      <c r="X2" s="37">
        <f>BDbDT_calcs!X58</f>
        <v>149502.90989015688</v>
      </c>
      <c r="Y2" s="37">
        <f>BDbDT_calcs!Y58</f>
        <v>151080.93832674602</v>
      </c>
      <c r="Z2" s="37">
        <f>BDbDT_calcs!Z58</f>
        <v>152534.95359703424</v>
      </c>
      <c r="AA2" s="37">
        <f>BDbDT_calcs!AA58</f>
        <v>153871.14463474447</v>
      </c>
      <c r="AB2" s="37">
        <f>BDbDT_calcs!AB58</f>
        <v>155100.47460397729</v>
      </c>
    </row>
    <row r="3" spans="1:28" x14ac:dyDescent="0.25">
      <c r="A3" s="4" t="s">
        <v>216</v>
      </c>
      <c r="B3" s="37">
        <f>BDbDT_calcs!B59</f>
        <v>97748.166544719134</v>
      </c>
      <c r="C3" s="37">
        <f>BDbDT_calcs!C59</f>
        <v>99655.710942769816</v>
      </c>
      <c r="D3" s="37">
        <f>BDbDT_calcs!D59</f>
        <v>101011.93837298786</v>
      </c>
      <c r="E3" s="37">
        <f>BDbDT_calcs!E59</f>
        <v>102421.13165034384</v>
      </c>
      <c r="F3" s="37">
        <f>BDbDT_calcs!F59</f>
        <v>103912.21961879342</v>
      </c>
      <c r="G3" s="37">
        <f>BDbDT_calcs!G59</f>
        <v>105490.65535213519</v>
      </c>
      <c r="H3" s="37">
        <f>BDbDT_calcs!H59</f>
        <v>107166.15799083031</v>
      </c>
      <c r="I3" s="37">
        <f>BDbDT_calcs!I59</f>
        <v>109731.19942416507</v>
      </c>
      <c r="J3" s="37">
        <f>BDbDT_calcs!J59</f>
        <v>112401.13920944373</v>
      </c>
      <c r="K3" s="37">
        <f>BDbDT_calcs!K59</f>
        <v>115148.83119341446</v>
      </c>
      <c r="L3" s="37">
        <f>BDbDT_calcs!L59</f>
        <v>117973.04638423304</v>
      </c>
      <c r="M3" s="37">
        <f>BDbDT_calcs!M59</f>
        <v>120867.66637216455</v>
      </c>
      <c r="N3" s="37">
        <f>BDbDT_calcs!N59</f>
        <v>123807.6672488488</v>
      </c>
      <c r="O3" s="37">
        <f>BDbDT_calcs!O59</f>
        <v>126768.53328409276</v>
      </c>
      <c r="P3" s="37">
        <f>BDbDT_calcs!P59</f>
        <v>129744.57232423064</v>
      </c>
      <c r="Q3" s="37">
        <f>BDbDT_calcs!Q59</f>
        <v>132699.54672232023</v>
      </c>
      <c r="R3" s="37">
        <f>BDbDT_calcs!R59</f>
        <v>135622.26050706775</v>
      </c>
      <c r="S3" s="37">
        <f>BDbDT_calcs!S59</f>
        <v>138437.90888387035</v>
      </c>
      <c r="T3" s="37">
        <f>BDbDT_calcs!T59</f>
        <v>141182.3858232061</v>
      </c>
      <c r="U3" s="37">
        <f>BDbDT_calcs!U59</f>
        <v>143840.3669796912</v>
      </c>
      <c r="V3" s="37">
        <f>BDbDT_calcs!V59</f>
        <v>146376.49945616772</v>
      </c>
      <c r="W3" s="37">
        <f>BDbDT_calcs!W59</f>
        <v>148757.7121811597</v>
      </c>
      <c r="X3" s="37">
        <f>BDbDT_calcs!X59</f>
        <v>150987.82465329423</v>
      </c>
      <c r="Y3" s="37">
        <f>BDbDT_calcs!Y59</f>
        <v>153133.67979421347</v>
      </c>
      <c r="Z3" s="37">
        <f>BDbDT_calcs!Z59</f>
        <v>155126.40085582389</v>
      </c>
      <c r="AA3" s="37">
        <f>BDbDT_calcs!AA59</f>
        <v>156937.82799267684</v>
      </c>
      <c r="AB3" s="37">
        <f>BDbDT_calcs!AB59</f>
        <v>158565.98313104402</v>
      </c>
    </row>
    <row r="4" spans="1:28" x14ac:dyDescent="0.25">
      <c r="A4" s="4" t="s">
        <v>217</v>
      </c>
      <c r="B4" s="37">
        <f>BDbDT_calcs!B60</f>
        <v>164797.14272580695</v>
      </c>
      <c r="C4" s="37">
        <f>BDbDT_calcs!C60</f>
        <v>168204.07202749143</v>
      </c>
      <c r="D4" s="37">
        <f>BDbDT_calcs!D60</f>
        <v>170660.78144031824</v>
      </c>
      <c r="E4" s="37">
        <f>BDbDT_calcs!E60</f>
        <v>173145.03359402693</v>
      </c>
      <c r="F4" s="37">
        <f>BDbDT_calcs!F60</f>
        <v>175692.43665321748</v>
      </c>
      <c r="G4" s="37">
        <f>BDbDT_calcs!G60</f>
        <v>178303.87558859107</v>
      </c>
      <c r="H4" s="37">
        <f>BDbDT_calcs!H60</f>
        <v>180986.07601042202</v>
      </c>
      <c r="I4" s="37">
        <f>BDbDT_calcs!I60</f>
        <v>185075.3360500753</v>
      </c>
      <c r="J4" s="37">
        <f>BDbDT_calcs!J60</f>
        <v>189236.93676985975</v>
      </c>
      <c r="K4" s="37">
        <f>BDbDT_calcs!K60</f>
        <v>193438.04865732096</v>
      </c>
      <c r="L4" s="37">
        <f>BDbDT_calcs!L60</f>
        <v>197668.51461990183</v>
      </c>
      <c r="M4" s="37">
        <f>BDbDT_calcs!M60</f>
        <v>201920.56590617762</v>
      </c>
      <c r="N4" s="37">
        <f>BDbDT_calcs!N60</f>
        <v>206157.11166981966</v>
      </c>
      <c r="O4" s="37">
        <f>BDbDT_calcs!O60</f>
        <v>210356.520050425</v>
      </c>
      <c r="P4" s="37">
        <f>BDbDT_calcs!P60</f>
        <v>214490.01716018567</v>
      </c>
      <c r="Q4" s="37">
        <f>BDbDT_calcs!Q60</f>
        <v>218526.45056538031</v>
      </c>
      <c r="R4" s="37">
        <f>BDbDT_calcs!R60</f>
        <v>222434.91078276566</v>
      </c>
      <c r="S4" s="37">
        <f>BDbDT_calcs!S60</f>
        <v>226113.07562563304</v>
      </c>
      <c r="T4" s="37">
        <f>BDbDT_calcs!T60</f>
        <v>229622.44943051488</v>
      </c>
      <c r="U4" s="37">
        <f>BDbDT_calcs!U60</f>
        <v>232957.91557676371</v>
      </c>
      <c r="V4" s="37">
        <f>BDbDT_calcs!V60</f>
        <v>236052.04673284234</v>
      </c>
      <c r="W4" s="37">
        <f>BDbDT_calcs!W60</f>
        <v>238880.49431790542</v>
      </c>
      <c r="X4" s="37">
        <f>BDbDT_calcs!X60</f>
        <v>241441.40646556852</v>
      </c>
      <c r="Y4" s="37">
        <f>BDbDT_calcs!Y60</f>
        <v>243852.0576072947</v>
      </c>
      <c r="Z4" s="37">
        <f>BDbDT_calcs!Z60</f>
        <v>245998.29270517264</v>
      </c>
      <c r="AA4" s="37">
        <f>BDbDT_calcs!AA60</f>
        <v>247858.05638200688</v>
      </c>
      <c r="AB4" s="37">
        <f>BDbDT_calcs!AB60</f>
        <v>249445.52293182758</v>
      </c>
    </row>
    <row r="5" spans="1:28" x14ac:dyDescent="0.25">
      <c r="A5" s="4" t="s">
        <v>218</v>
      </c>
      <c r="B5" s="37">
        <f>BDbDT_calcs!B61</f>
        <v>30929.877201113166</v>
      </c>
      <c r="C5" s="37">
        <f>BDbDT_calcs!C61</f>
        <v>31518.195199664828</v>
      </c>
      <c r="D5" s="37">
        <f>BDbDT_calcs!D61</f>
        <v>31933.471841971874</v>
      </c>
      <c r="E5" s="37">
        <f>BDbDT_calcs!E61</f>
        <v>32352.705286491273</v>
      </c>
      <c r="F5" s="37">
        <f>BDbDT_calcs!F61</f>
        <v>32786.537843571692</v>
      </c>
      <c r="G5" s="37">
        <f>BDbDT_calcs!G61</f>
        <v>33235.933159474618</v>
      </c>
      <c r="H5" s="37">
        <f>BDbDT_calcs!H61</f>
        <v>33700.177109574441</v>
      </c>
      <c r="I5" s="37">
        <f>BDbDT_calcs!I61</f>
        <v>34432.689493581493</v>
      </c>
      <c r="J5" s="37">
        <f>BDbDT_calcs!J61</f>
        <v>35185.646967740257</v>
      </c>
      <c r="K5" s="37">
        <f>BDbDT_calcs!K61</f>
        <v>35957.179684302522</v>
      </c>
      <c r="L5" s="37">
        <f>BDbDT_calcs!L61</f>
        <v>36747.681217298101</v>
      </c>
      <c r="M5" s="37">
        <f>BDbDT_calcs!M61</f>
        <v>37555.601182866456</v>
      </c>
      <c r="N5" s="37">
        <f>BDbDT_calcs!N61</f>
        <v>38383.04506580536</v>
      </c>
      <c r="O5" s="37">
        <f>BDbDT_calcs!O61</f>
        <v>39220.571722504777</v>
      </c>
      <c r="P5" s="37">
        <f>BDbDT_calcs!P61</f>
        <v>40072.644772983156</v>
      </c>
      <c r="Q5" s="37">
        <f>BDbDT_calcs!Q61</f>
        <v>40931.271966684537</v>
      </c>
      <c r="R5" s="37">
        <f>BDbDT_calcs!R61</f>
        <v>41795.479474486114</v>
      </c>
      <c r="S5" s="37">
        <f>BDbDT_calcs!S61</f>
        <v>42650.39306076958</v>
      </c>
      <c r="T5" s="37">
        <f>BDbDT_calcs!T61</f>
        <v>43502.340308584826</v>
      </c>
      <c r="U5" s="37">
        <f>BDbDT_calcs!U61</f>
        <v>44351.713245475097</v>
      </c>
      <c r="V5" s="37">
        <f>BDbDT_calcs!V61</f>
        <v>45193.021144030812</v>
      </c>
      <c r="W5" s="37">
        <f>BDbDT_calcs!W61</f>
        <v>46017.397467978786</v>
      </c>
      <c r="X5" s="37">
        <f>BDbDT_calcs!X61</f>
        <v>46821.094216469588</v>
      </c>
      <c r="Y5" s="37">
        <f>BDbDT_calcs!Y61</f>
        <v>47615.311766217957</v>
      </c>
      <c r="Z5" s="37">
        <f>BDbDT_calcs!Z61</f>
        <v>48386.367264760142</v>
      </c>
      <c r="AA5" s="37">
        <f>BDbDT_calcs!AA61</f>
        <v>49133.073586246872</v>
      </c>
      <c r="AB5" s="37">
        <f>BDbDT_calcs!AB61</f>
        <v>49849.510047052594</v>
      </c>
    </row>
    <row r="6" spans="1:28" x14ac:dyDescent="0.25">
      <c r="A6" s="4" t="s">
        <v>219</v>
      </c>
      <c r="B6" s="37">
        <f>BDbDT_calcs!B62</f>
        <v>4425.9416307836809</v>
      </c>
      <c r="C6" s="37">
        <f>BDbDT_calcs!C62</f>
        <v>4547.7114844703883</v>
      </c>
      <c r="D6" s="37">
        <f>BDbDT_calcs!D62</f>
        <v>4647.9116401784731</v>
      </c>
      <c r="E6" s="37">
        <f>BDbDT_calcs!E62</f>
        <v>4755.1736764113102</v>
      </c>
      <c r="F6" s="37">
        <f>BDbDT_calcs!F62</f>
        <v>4870.8983690968898</v>
      </c>
      <c r="G6" s="37">
        <f>BDbDT_calcs!G62</f>
        <v>4995.0138423450926</v>
      </c>
      <c r="H6" s="37">
        <f>BDbDT_calcs!H62</f>
        <v>5127.8839492299221</v>
      </c>
      <c r="I6" s="37">
        <f>BDbDT_calcs!I62</f>
        <v>5308.4270070227894</v>
      </c>
      <c r="J6" s="37">
        <f>BDbDT_calcs!J62</f>
        <v>5497.0909484767581</v>
      </c>
      <c r="K6" s="37">
        <f>BDbDT_calcs!K62</f>
        <v>5692.9177169959657</v>
      </c>
      <c r="L6" s="37">
        <f>BDbDT_calcs!L62</f>
        <v>5897.4968876352677</v>
      </c>
      <c r="M6" s="37">
        <f>BDbDT_calcs!M62</f>
        <v>6109.8402047708087</v>
      </c>
      <c r="N6" s="37">
        <f>BDbDT_calcs!N62</f>
        <v>6329.3066345603065</v>
      </c>
      <c r="O6" s="37">
        <f>BDbDT_calcs!O62</f>
        <v>6554.8989592644302</v>
      </c>
      <c r="P6" s="37">
        <f>BDbDT_calcs!P62</f>
        <v>6786.1210974561036</v>
      </c>
      <c r="Q6" s="37">
        <f>BDbDT_calcs!Q62</f>
        <v>7021.7577342821778</v>
      </c>
      <c r="R6" s="37">
        <f>BDbDT_calcs!R62</f>
        <v>7261.2088422791048</v>
      </c>
      <c r="S6" s="37">
        <f>BDbDT_calcs!S62</f>
        <v>7500.622060092508</v>
      </c>
      <c r="T6" s="37">
        <f>BDbDT_calcs!T62</f>
        <v>7742.6288694588102</v>
      </c>
      <c r="U6" s="37">
        <f>BDbDT_calcs!U62</f>
        <v>7985.5379182248271</v>
      </c>
      <c r="V6" s="37">
        <f>BDbDT_calcs!V62</f>
        <v>8229.5671481313275</v>
      </c>
      <c r="W6" s="37">
        <f>BDbDT_calcs!W62</f>
        <v>8474.1152768450393</v>
      </c>
      <c r="X6" s="37">
        <f>BDbDT_calcs!X62</f>
        <v>8719.8421998728063</v>
      </c>
      <c r="Y6" s="37">
        <f>BDbDT_calcs!Y62</f>
        <v>8966.1190930999801</v>
      </c>
      <c r="Z6" s="37">
        <f>BDbDT_calcs!Z62</f>
        <v>9213.1538897544342</v>
      </c>
      <c r="AA6" s="37">
        <f>BDbDT_calcs!AA62</f>
        <v>9460.7776527759834</v>
      </c>
      <c r="AB6" s="37">
        <f>BDbDT_calcs!AB62</f>
        <v>9708.2276205811322</v>
      </c>
    </row>
    <row r="7" spans="1:28" x14ac:dyDescent="0.25">
      <c r="A7" s="4" t="s">
        <v>220</v>
      </c>
      <c r="B7" s="37">
        <f>BDbDT_calcs!B63</f>
        <v>3233.9046692924121</v>
      </c>
      <c r="C7" s="37">
        <f>BDbDT_calcs!C63</f>
        <v>3318.2258281284653</v>
      </c>
      <c r="D7" s="37">
        <f>BDbDT_calcs!D63</f>
        <v>3387.2962848302732</v>
      </c>
      <c r="E7" s="37">
        <f>BDbDT_calcs!E63</f>
        <v>3462.8092903049164</v>
      </c>
      <c r="F7" s="37">
        <f>BDbDT_calcs!F63</f>
        <v>3539.0541160439161</v>
      </c>
      <c r="G7" s="37">
        <f>BDbDT_calcs!G63</f>
        <v>3621.0920048537628</v>
      </c>
      <c r="H7" s="37">
        <f>BDbDT_calcs!H63</f>
        <v>3705.6503464570292</v>
      </c>
      <c r="I7" s="37">
        <f>BDbDT_calcs!I63</f>
        <v>3819.972108863205</v>
      </c>
      <c r="J7" s="37">
        <f>BDbDT_calcs!J63</f>
        <v>3937.4609160791201</v>
      </c>
      <c r="K7" s="37">
        <f>BDbDT_calcs!K63</f>
        <v>4062.4362960123544</v>
      </c>
      <c r="L7" s="37">
        <f>BDbDT_calcs!L63</f>
        <v>4191.1152242907219</v>
      </c>
      <c r="M7" s="37">
        <f>BDbDT_calcs!M63</f>
        <v>4324.8395786834517</v>
      </c>
      <c r="N7" s="37">
        <f>BDbDT_calcs!N63</f>
        <v>4461.7775068569927</v>
      </c>
      <c r="O7" s="37">
        <f>BDbDT_calcs!O63</f>
        <v>4602.3195107900474</v>
      </c>
      <c r="P7" s="37">
        <f>BDbDT_calcs!P63</f>
        <v>4747.7260652694358</v>
      </c>
      <c r="Q7" s="37">
        <f>BDbDT_calcs!Q63</f>
        <v>4897.4416856260223</v>
      </c>
      <c r="R7" s="37">
        <f>BDbDT_calcs!R63</f>
        <v>5050.5800131586357</v>
      </c>
      <c r="S7" s="37">
        <f>BDbDT_calcs!S63</f>
        <v>5203.8202565555184</v>
      </c>
      <c r="T7" s="37">
        <f>BDbDT_calcs!T63</f>
        <v>5360.3548844830812</v>
      </c>
      <c r="U7" s="37">
        <f>BDbDT_calcs!U63</f>
        <v>5518.8001693457391</v>
      </c>
      <c r="V7" s="37">
        <f>BDbDT_calcs!V63</f>
        <v>5677.5515495153122</v>
      </c>
      <c r="W7" s="37">
        <f>BDbDT_calcs!W63</f>
        <v>5840.0643697770201</v>
      </c>
      <c r="X7" s="37">
        <f>BDbDT_calcs!X63</f>
        <v>6003.5437815863916</v>
      </c>
      <c r="Y7" s="37">
        <f>BDbDT_calcs!Y63</f>
        <v>6169.6837216884633</v>
      </c>
      <c r="Z7" s="37">
        <f>BDbDT_calcs!Z63</f>
        <v>6336.1081656588267</v>
      </c>
      <c r="AA7" s="37">
        <f>BDbDT_calcs!AA63</f>
        <v>6503.7123596820429</v>
      </c>
      <c r="AB7" s="37">
        <f>BDbDT_calcs!AB63</f>
        <v>6673.4673954976315</v>
      </c>
    </row>
    <row r="8" spans="1:28" x14ac:dyDescent="0.25">
      <c r="A8" s="4" t="s">
        <v>221</v>
      </c>
      <c r="B8" s="37">
        <f>BDbDT_calcs!B64</f>
        <v>25432.237524837237</v>
      </c>
      <c r="C8" s="37">
        <f>BDbDT_calcs!C64</f>
        <v>26431.132602453028</v>
      </c>
      <c r="D8" s="37">
        <f>BDbDT_calcs!D64</f>
        <v>27304.13550718053</v>
      </c>
      <c r="E8" s="37">
        <f>BDbDT_calcs!E64</f>
        <v>28199.072831869242</v>
      </c>
      <c r="F8" s="37">
        <f>BDbDT_calcs!F64</f>
        <v>29116.373834621791</v>
      </c>
      <c r="G8" s="37">
        <f>BDbDT_calcs!G64</f>
        <v>30059.714435237769</v>
      </c>
      <c r="H8" s="37">
        <f>BDbDT_calcs!H64</f>
        <v>31039.042536865123</v>
      </c>
      <c r="I8" s="37">
        <f>BDbDT_calcs!I64</f>
        <v>32291.026885816947</v>
      </c>
      <c r="J8" s="37">
        <f>BDbDT_calcs!J64</f>
        <v>33585.468942598112</v>
      </c>
      <c r="K8" s="37">
        <f>BDbDT_calcs!K64</f>
        <v>34930.836022652351</v>
      </c>
      <c r="L8" s="37">
        <f>BDbDT_calcs!L64</f>
        <v>36333.978541126526</v>
      </c>
      <c r="M8" s="37">
        <f>BDbDT_calcs!M64</f>
        <v>37786.945725440026</v>
      </c>
      <c r="N8" s="37">
        <f>BDbDT_calcs!N64</f>
        <v>39300.439085153739</v>
      </c>
      <c r="O8" s="37">
        <f>BDbDT_calcs!O64</f>
        <v>40868.903689711457</v>
      </c>
      <c r="P8" s="37">
        <f>BDbDT_calcs!P64</f>
        <v>42491.409747942853</v>
      </c>
      <c r="Q8" s="37">
        <f>BDbDT_calcs!Q64</f>
        <v>44170.693043753228</v>
      </c>
      <c r="R8" s="37">
        <f>BDbDT_calcs!R64</f>
        <v>45898.667278785302</v>
      </c>
      <c r="S8" s="37">
        <f>BDbDT_calcs!S64</f>
        <v>47659.137065735456</v>
      </c>
      <c r="T8" s="37">
        <f>BDbDT_calcs!T64</f>
        <v>49467.646127180298</v>
      </c>
      <c r="U8" s="37">
        <f>BDbDT_calcs!U64</f>
        <v>51321.493282684773</v>
      </c>
      <c r="V8" s="37">
        <f>BDbDT_calcs!V64</f>
        <v>53214.330434717122</v>
      </c>
      <c r="W8" s="37">
        <f>BDbDT_calcs!W64</f>
        <v>55139.130356472968</v>
      </c>
      <c r="X8" s="37">
        <f>BDbDT_calcs!X64</f>
        <v>57102.803771608422</v>
      </c>
      <c r="Y8" s="37">
        <f>BDbDT_calcs!Y64</f>
        <v>59094.105346447883</v>
      </c>
      <c r="Z8" s="37">
        <f>BDbDT_calcs!Z64</f>
        <v>61112.269121375568</v>
      </c>
      <c r="AA8" s="37">
        <f>BDbDT_calcs!AA64</f>
        <v>63143.471999763584</v>
      </c>
      <c r="AB8" s="37">
        <f>BDbDT_calcs!AB64</f>
        <v>65185.636530567885</v>
      </c>
    </row>
    <row r="9" spans="1:28" x14ac:dyDescent="0.25">
      <c r="A9" s="4" t="s">
        <v>222</v>
      </c>
      <c r="B9" s="37">
        <f>BDbDT_calcs!B65</f>
        <v>161987.67222271641</v>
      </c>
      <c r="C9" s="37">
        <f>BDbDT_calcs!C65</f>
        <v>165088.12359928657</v>
      </c>
      <c r="D9" s="37">
        <f>BDbDT_calcs!D65</f>
        <v>167256.81920500359</v>
      </c>
      <c r="E9" s="37">
        <f>BDbDT_calcs!E65</f>
        <v>169459.21197754098</v>
      </c>
      <c r="F9" s="37">
        <f>BDbDT_calcs!F65</f>
        <v>171728.81391822535</v>
      </c>
      <c r="G9" s="37">
        <f>BDbDT_calcs!G65</f>
        <v>174071.16745036771</v>
      </c>
      <c r="H9" s="37">
        <f>BDbDT_calcs!H65</f>
        <v>176482.09389098684</v>
      </c>
      <c r="I9" s="37">
        <f>BDbDT_calcs!I65</f>
        <v>180265.04850745638</v>
      </c>
      <c r="J9" s="37">
        <f>BDbDT_calcs!J65</f>
        <v>184117.8141095457</v>
      </c>
      <c r="K9" s="37">
        <f>BDbDT_calcs!K65</f>
        <v>188009.20704235678</v>
      </c>
      <c r="L9" s="37">
        <f>BDbDT_calcs!L65</f>
        <v>191924.41758216298</v>
      </c>
      <c r="M9" s="37">
        <f>BDbDT_calcs!M65</f>
        <v>195860.38993669747</v>
      </c>
      <c r="N9" s="37">
        <f>BDbDT_calcs!N65</f>
        <v>199776.46511532384</v>
      </c>
      <c r="O9" s="37">
        <f>BDbDT_calcs!O65</f>
        <v>203649.19226393421</v>
      </c>
      <c r="P9" s="37">
        <f>BDbDT_calcs!P65</f>
        <v>207458.01879879381</v>
      </c>
      <c r="Q9" s="37">
        <f>BDbDT_calcs!Q65</f>
        <v>211165.67533043385</v>
      </c>
      <c r="R9" s="37">
        <f>BDbDT_calcs!R65</f>
        <v>214747.26766314506</v>
      </c>
      <c r="S9" s="37">
        <f>BDbDT_calcs!S65</f>
        <v>218102.03632075776</v>
      </c>
      <c r="T9" s="37">
        <f>BDbDT_calcs!T65</f>
        <v>221287.22525979832</v>
      </c>
      <c r="U9" s="37">
        <f>BDbDT_calcs!U65</f>
        <v>224295.67758221025</v>
      </c>
      <c r="V9" s="37">
        <f>BDbDT_calcs!V65</f>
        <v>227066.8674189861</v>
      </c>
      <c r="W9" s="37">
        <f>BDbDT_calcs!W65</f>
        <v>229580.8283950497</v>
      </c>
      <c r="X9" s="37">
        <f>BDbDT_calcs!X65</f>
        <v>231826.66954593532</v>
      </c>
      <c r="Y9" s="37">
        <f>BDbDT_calcs!Y65</f>
        <v>233922.45612266156</v>
      </c>
      <c r="Z9" s="37">
        <f>BDbDT_calcs!Z65</f>
        <v>235756.7231322045</v>
      </c>
      <c r="AA9" s="37">
        <f>BDbDT_calcs!AA65</f>
        <v>237318.5794333985</v>
      </c>
      <c r="AB9" s="37">
        <f>BDbDT_calcs!AB65</f>
        <v>238617.33079803723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2026-08-17T20:28:38Z</dcterms:modified>
</cp:coreProperties>
</file>