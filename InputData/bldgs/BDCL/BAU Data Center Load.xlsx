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FL\bldgs\BDCL\"/>
    </mc:Choice>
  </mc:AlternateContent>
  <xr:revisionPtr revIDLastSave="0" documentId="8_{AFF6801A-03DC-4F8A-9DF2-6C787FEDD772}" xr6:coauthVersionLast="47" xr6:coauthVersionMax="47" xr10:uidLastSave="{00000000-0000-0000-0000-000000000000}"/>
  <bookViews>
    <workbookView xWindow="338" yWindow="338" windowWidth="16200" windowHeight="9307" xr2:uid="{00000000-000D-0000-FFFF-FFFF00000000}"/>
  </bookViews>
  <sheets>
    <sheet name="About" sheetId="1" r:id="rId1"/>
    <sheet name="Methodology" sheetId="2" r:id="rId2"/>
    <sheet name="Keys" sheetId="3" r:id="rId3"/>
    <sheet name="EPRI_PI2026" sheetId="4" r:id="rId4"/>
    <sheet name="EPRI_DC_2023" sheetId="5" r:id="rId5"/>
    <sheet name="EIA861_sales" sheetId="6" r:id="rId6"/>
    <sheet name="DC_classification" sheetId="7" r:id="rId7"/>
    <sheet name="State Policies" sheetId="8" r:id="rId8"/>
    <sheet name="State Calculations" sheetId="9" r:id="rId9"/>
    <sheet name="Calcs" sheetId="10" r:id="rId10"/>
    <sheet name="BDCL-low" sheetId="11" r:id="rId11"/>
    <sheet name="BDCL-mid" sheetId="12" r:id="rId12"/>
    <sheet name="BDCL-high" sheetId="13" r:id="rId13"/>
  </sheets>
  <definedNames>
    <definedName name="_xlnm._FilterDatabase" localSheetId="7" hidden="1">'State Policies'!$A$1:$T$2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67" i="10" l="1"/>
  <c r="C167" i="10" s="1"/>
  <c r="D167" i="10" s="1"/>
  <c r="E167" i="10" s="1"/>
  <c r="F167" i="10" s="1"/>
  <c r="G167" i="10" s="1"/>
  <c r="H167" i="10" s="1"/>
  <c r="I167" i="10" s="1"/>
  <c r="J167" i="10" s="1"/>
  <c r="K167" i="10" s="1"/>
  <c r="L167" i="10" s="1"/>
  <c r="M167" i="10" s="1"/>
  <c r="N167" i="10" s="1"/>
  <c r="O167" i="10" s="1"/>
  <c r="P167" i="10" s="1"/>
  <c r="Q167" i="10" s="1"/>
  <c r="R167" i="10"/>
  <c r="S167" i="10" s="1"/>
  <c r="T167" i="10" s="1"/>
  <c r="U167" i="10" s="1"/>
  <c r="V167" i="10" s="1"/>
  <c r="W167" i="10" s="1"/>
  <c r="X167" i="10" s="1"/>
  <c r="Y167" i="10" s="1"/>
  <c r="Z167" i="10" s="1"/>
  <c r="AA167" i="10" s="1"/>
  <c r="AB167" i="10" s="1"/>
  <c r="B167" i="10"/>
  <c r="AC166" i="10"/>
  <c r="B166" i="10"/>
  <c r="C166" i="10" s="1"/>
  <c r="D166" i="10" s="1"/>
  <c r="E166" i="10" s="1"/>
  <c r="F166" i="10" s="1"/>
  <c r="G166" i="10" s="1"/>
  <c r="H166" i="10" s="1"/>
  <c r="I166" i="10" s="1"/>
  <c r="J166" i="10" s="1"/>
  <c r="K166" i="10" s="1"/>
  <c r="L166" i="10" s="1"/>
  <c r="M166" i="10" s="1"/>
  <c r="N166" i="10" s="1"/>
  <c r="O166" i="10" s="1"/>
  <c r="P166" i="10" s="1"/>
  <c r="Q166" i="10" s="1"/>
  <c r="R166" i="10" s="1"/>
  <c r="S166" i="10" s="1"/>
  <c r="T166" i="10" s="1"/>
  <c r="U166" i="10" s="1"/>
  <c r="V166" i="10" s="1"/>
  <c r="W166" i="10" s="1"/>
  <c r="X166" i="10" s="1"/>
  <c r="Y166" i="10" s="1"/>
  <c r="Z166" i="10" s="1"/>
  <c r="AA166" i="10" s="1"/>
  <c r="AB166" i="10" s="1"/>
  <c r="AC165" i="10"/>
  <c r="B165" i="10"/>
  <c r="AC160" i="10"/>
  <c r="W160" i="10"/>
  <c r="X160" i="10" s="1"/>
  <c r="Y160" i="10" s="1"/>
  <c r="Z160" i="10" s="1"/>
  <c r="AA160" i="10" s="1"/>
  <c r="AB160" i="10" s="1"/>
  <c r="H160" i="10"/>
  <c r="I160" i="10" s="1"/>
  <c r="J160" i="10" s="1"/>
  <c r="K160" i="10" s="1"/>
  <c r="L160" i="10" s="1"/>
  <c r="M160" i="10" s="1"/>
  <c r="N160" i="10" s="1"/>
  <c r="O160" i="10" s="1"/>
  <c r="P160" i="10" s="1"/>
  <c r="Q160" i="10" s="1"/>
  <c r="R160" i="10" s="1"/>
  <c r="S160" i="10" s="1"/>
  <c r="T160" i="10" s="1"/>
  <c r="U160" i="10" s="1"/>
  <c r="V160" i="10" s="1"/>
  <c r="D160" i="10"/>
  <c r="E160" i="10" s="1"/>
  <c r="F160" i="10" s="1"/>
  <c r="G160" i="10" s="1"/>
  <c r="B160" i="10"/>
  <c r="C160" i="10" s="1"/>
  <c r="AC159" i="10"/>
  <c r="O159" i="10"/>
  <c r="P159" i="10" s="1"/>
  <c r="Q159" i="10" s="1"/>
  <c r="R159" i="10" s="1"/>
  <c r="S159" i="10" s="1"/>
  <c r="T159" i="10" s="1"/>
  <c r="U159" i="10" s="1"/>
  <c r="V159" i="10" s="1"/>
  <c r="W159" i="10" s="1"/>
  <c r="X159" i="10" s="1"/>
  <c r="Y159" i="10" s="1"/>
  <c r="Z159" i="10" s="1"/>
  <c r="AA159" i="10" s="1"/>
  <c r="AB159" i="10" s="1"/>
  <c r="B159" i="10"/>
  <c r="C159" i="10" s="1"/>
  <c r="D159" i="10" s="1"/>
  <c r="E159" i="10" s="1"/>
  <c r="F159" i="10" s="1"/>
  <c r="G159" i="10" s="1"/>
  <c r="H159" i="10" s="1"/>
  <c r="I159" i="10" s="1"/>
  <c r="J159" i="10" s="1"/>
  <c r="K159" i="10" s="1"/>
  <c r="L159" i="10" s="1"/>
  <c r="M159" i="10" s="1"/>
  <c r="N159" i="10" s="1"/>
  <c r="O158" i="10"/>
  <c r="P158" i="10" s="1"/>
  <c r="Q158" i="10" s="1"/>
  <c r="R158" i="10" s="1"/>
  <c r="S158" i="10" s="1"/>
  <c r="T158" i="10" s="1"/>
  <c r="U158" i="10" s="1"/>
  <c r="V158" i="10" s="1"/>
  <c r="W158" i="10" s="1"/>
  <c r="X158" i="10" s="1"/>
  <c r="Y158" i="10" s="1"/>
  <c r="Z158" i="10" s="1"/>
  <c r="AA158" i="10" s="1"/>
  <c r="AB158" i="10" s="1"/>
  <c r="G158" i="10"/>
  <c r="H158" i="10" s="1"/>
  <c r="I158" i="10" s="1"/>
  <c r="J158" i="10" s="1"/>
  <c r="K158" i="10" s="1"/>
  <c r="L158" i="10" s="1"/>
  <c r="M158" i="10" s="1"/>
  <c r="N158" i="10" s="1"/>
  <c r="F158" i="10"/>
  <c r="D158" i="10"/>
  <c r="E158" i="10" s="1"/>
  <c r="C158" i="10"/>
  <c r="AC157" i="10"/>
  <c r="F157" i="10"/>
  <c r="G157" i="10" s="1"/>
  <c r="H157" i="10" s="1"/>
  <c r="I157" i="10" s="1"/>
  <c r="J157" i="10" s="1"/>
  <c r="K157" i="10" s="1"/>
  <c r="L157" i="10" s="1"/>
  <c r="M157" i="10" s="1"/>
  <c r="N157" i="10" s="1"/>
  <c r="O157" i="10" s="1"/>
  <c r="P157" i="10" s="1"/>
  <c r="Q157" i="10" s="1"/>
  <c r="R157" i="10" s="1"/>
  <c r="S157" i="10" s="1"/>
  <c r="T157" i="10" s="1"/>
  <c r="U157" i="10" s="1"/>
  <c r="V157" i="10" s="1"/>
  <c r="W157" i="10" s="1"/>
  <c r="X157" i="10" s="1"/>
  <c r="Y157" i="10" s="1"/>
  <c r="Z157" i="10" s="1"/>
  <c r="AA157" i="10" s="1"/>
  <c r="AB157" i="10" s="1"/>
  <c r="E157" i="10"/>
  <c r="D157" i="10"/>
  <c r="B157" i="10"/>
  <c r="C157" i="10" s="1"/>
  <c r="AC156" i="10"/>
  <c r="C156" i="10"/>
  <c r="D156" i="10" s="1"/>
  <c r="E156" i="10" s="1"/>
  <c r="F156" i="10" s="1"/>
  <c r="G156" i="10" s="1"/>
  <c r="H156" i="10" s="1"/>
  <c r="I156" i="10" s="1"/>
  <c r="J156" i="10" s="1"/>
  <c r="K156" i="10" s="1"/>
  <c r="L156" i="10" s="1"/>
  <c r="M156" i="10" s="1"/>
  <c r="N156" i="10" s="1"/>
  <c r="O156" i="10" s="1"/>
  <c r="P156" i="10" s="1"/>
  <c r="Q156" i="10" s="1"/>
  <c r="R156" i="10" s="1"/>
  <c r="S156" i="10" s="1"/>
  <c r="T156" i="10" s="1"/>
  <c r="U156" i="10" s="1"/>
  <c r="V156" i="10" s="1"/>
  <c r="W156" i="10" s="1"/>
  <c r="X156" i="10" s="1"/>
  <c r="Y156" i="10" s="1"/>
  <c r="Z156" i="10" s="1"/>
  <c r="AA156" i="10" s="1"/>
  <c r="AB156" i="10" s="1"/>
  <c r="B156" i="10"/>
  <c r="AC155" i="10"/>
  <c r="F155" i="10"/>
  <c r="G155" i="10" s="1"/>
  <c r="H155" i="10" s="1"/>
  <c r="I155" i="10" s="1"/>
  <c r="J155" i="10" s="1"/>
  <c r="K155" i="10" s="1"/>
  <c r="L155" i="10" s="1"/>
  <c r="M155" i="10" s="1"/>
  <c r="N155" i="10" s="1"/>
  <c r="O155" i="10" s="1"/>
  <c r="P155" i="10" s="1"/>
  <c r="Q155" i="10" s="1"/>
  <c r="R155" i="10" s="1"/>
  <c r="S155" i="10" s="1"/>
  <c r="T155" i="10" s="1"/>
  <c r="U155" i="10" s="1"/>
  <c r="V155" i="10" s="1"/>
  <c r="W155" i="10" s="1"/>
  <c r="X155" i="10" s="1"/>
  <c r="Y155" i="10" s="1"/>
  <c r="Z155" i="10" s="1"/>
  <c r="AA155" i="10" s="1"/>
  <c r="AB155" i="10" s="1"/>
  <c r="B155" i="10"/>
  <c r="C155" i="10" s="1"/>
  <c r="D155" i="10" s="1"/>
  <c r="E155" i="10" s="1"/>
  <c r="AC154" i="10"/>
  <c r="B154" i="10"/>
  <c r="C154" i="10" s="1"/>
  <c r="D154" i="10" s="1"/>
  <c r="E154" i="10" s="1"/>
  <c r="F154" i="10" s="1"/>
  <c r="G154" i="10" s="1"/>
  <c r="H154" i="10" s="1"/>
  <c r="I154" i="10" s="1"/>
  <c r="J154" i="10" s="1"/>
  <c r="K154" i="10" s="1"/>
  <c r="L154" i="10" s="1"/>
  <c r="M154" i="10" s="1"/>
  <c r="N154" i="10" s="1"/>
  <c r="O154" i="10" s="1"/>
  <c r="P154" i="10" s="1"/>
  <c r="Q154" i="10" s="1"/>
  <c r="R154" i="10" s="1"/>
  <c r="S154" i="10" s="1"/>
  <c r="T154" i="10" s="1"/>
  <c r="U154" i="10" s="1"/>
  <c r="V154" i="10" s="1"/>
  <c r="W154" i="10" s="1"/>
  <c r="X154" i="10" s="1"/>
  <c r="Y154" i="10" s="1"/>
  <c r="Z154" i="10" s="1"/>
  <c r="AA154" i="10" s="1"/>
  <c r="AB154" i="10" s="1"/>
  <c r="AC153" i="10"/>
  <c r="C153" i="10" s="1"/>
  <c r="D153" i="10" s="1"/>
  <c r="E153" i="10" s="1"/>
  <c r="F153" i="10" s="1"/>
  <c r="G153" i="10" s="1"/>
  <c r="H153" i="10" s="1"/>
  <c r="I153" i="10" s="1"/>
  <c r="J153" i="10" s="1"/>
  <c r="K153" i="10" s="1"/>
  <c r="L153" i="10" s="1"/>
  <c r="M153" i="10" s="1"/>
  <c r="N153" i="10" s="1"/>
  <c r="O153" i="10" s="1"/>
  <c r="P153" i="10" s="1"/>
  <c r="Q153" i="10" s="1"/>
  <c r="R153" i="10" s="1"/>
  <c r="S153" i="10" s="1"/>
  <c r="T153" i="10" s="1"/>
  <c r="U153" i="10" s="1"/>
  <c r="V153" i="10" s="1"/>
  <c r="W153" i="10" s="1"/>
  <c r="X153" i="10" s="1"/>
  <c r="Y153" i="10" s="1"/>
  <c r="Z153" i="10" s="1"/>
  <c r="AA153" i="10" s="1"/>
  <c r="AB153" i="10" s="1"/>
  <c r="B153" i="10"/>
  <c r="AC152" i="10"/>
  <c r="E152" i="10"/>
  <c r="F152" i="10" s="1"/>
  <c r="G152" i="10" s="1"/>
  <c r="H152" i="10" s="1"/>
  <c r="I152" i="10" s="1"/>
  <c r="J152" i="10" s="1"/>
  <c r="K152" i="10" s="1"/>
  <c r="L152" i="10" s="1"/>
  <c r="M152" i="10" s="1"/>
  <c r="N152" i="10" s="1"/>
  <c r="O152" i="10" s="1"/>
  <c r="P152" i="10" s="1"/>
  <c r="Q152" i="10" s="1"/>
  <c r="R152" i="10" s="1"/>
  <c r="S152" i="10" s="1"/>
  <c r="T152" i="10" s="1"/>
  <c r="U152" i="10" s="1"/>
  <c r="V152" i="10" s="1"/>
  <c r="W152" i="10" s="1"/>
  <c r="X152" i="10" s="1"/>
  <c r="Y152" i="10" s="1"/>
  <c r="Z152" i="10" s="1"/>
  <c r="AA152" i="10" s="1"/>
  <c r="AB152" i="10" s="1"/>
  <c r="C152" i="10"/>
  <c r="D152" i="10" s="1"/>
  <c r="B152" i="10"/>
  <c r="AC151" i="10"/>
  <c r="C151" i="10"/>
  <c r="D151" i="10" s="1"/>
  <c r="E151" i="10" s="1"/>
  <c r="F151" i="10" s="1"/>
  <c r="G151" i="10" s="1"/>
  <c r="H151" i="10" s="1"/>
  <c r="I151" i="10" s="1"/>
  <c r="J151" i="10" s="1"/>
  <c r="K151" i="10" s="1"/>
  <c r="L151" i="10" s="1"/>
  <c r="M151" i="10" s="1"/>
  <c r="N151" i="10" s="1"/>
  <c r="O151" i="10" s="1"/>
  <c r="P151" i="10" s="1"/>
  <c r="Q151" i="10" s="1"/>
  <c r="R151" i="10" s="1"/>
  <c r="S151" i="10" s="1"/>
  <c r="T151" i="10" s="1"/>
  <c r="U151" i="10" s="1"/>
  <c r="V151" i="10" s="1"/>
  <c r="W151" i="10" s="1"/>
  <c r="X151" i="10" s="1"/>
  <c r="Y151" i="10" s="1"/>
  <c r="Z151" i="10" s="1"/>
  <c r="AA151" i="10" s="1"/>
  <c r="AB151" i="10" s="1"/>
  <c r="B151" i="10"/>
  <c r="AC150" i="10"/>
  <c r="B150" i="10"/>
  <c r="AC149" i="10"/>
  <c r="B149" i="10"/>
  <c r="AC148" i="10"/>
  <c r="B148" i="10"/>
  <c r="C148" i="10" s="1"/>
  <c r="D148" i="10" s="1"/>
  <c r="E148" i="10" s="1"/>
  <c r="F148" i="10" s="1"/>
  <c r="G148" i="10" s="1"/>
  <c r="H148" i="10" s="1"/>
  <c r="I148" i="10" s="1"/>
  <c r="J148" i="10" s="1"/>
  <c r="K148" i="10" s="1"/>
  <c r="L148" i="10" s="1"/>
  <c r="M148" i="10" s="1"/>
  <c r="N148" i="10" s="1"/>
  <c r="O148" i="10" s="1"/>
  <c r="P148" i="10" s="1"/>
  <c r="Q148" i="10" s="1"/>
  <c r="R148" i="10" s="1"/>
  <c r="S148" i="10" s="1"/>
  <c r="T148" i="10" s="1"/>
  <c r="U148" i="10" s="1"/>
  <c r="V148" i="10" s="1"/>
  <c r="W148" i="10" s="1"/>
  <c r="X148" i="10" s="1"/>
  <c r="Y148" i="10" s="1"/>
  <c r="Z148" i="10" s="1"/>
  <c r="AA148" i="10" s="1"/>
  <c r="AB148" i="10" s="1"/>
  <c r="AC147" i="10"/>
  <c r="E147" i="10"/>
  <c r="F147" i="10" s="1"/>
  <c r="G147" i="10" s="1"/>
  <c r="H147" i="10" s="1"/>
  <c r="I147" i="10" s="1"/>
  <c r="J147" i="10" s="1"/>
  <c r="K147" i="10" s="1"/>
  <c r="L147" i="10" s="1"/>
  <c r="M147" i="10" s="1"/>
  <c r="N147" i="10" s="1"/>
  <c r="O147" i="10" s="1"/>
  <c r="P147" i="10" s="1"/>
  <c r="Q147" i="10" s="1"/>
  <c r="R147" i="10" s="1"/>
  <c r="S147" i="10" s="1"/>
  <c r="T147" i="10" s="1"/>
  <c r="U147" i="10" s="1"/>
  <c r="V147" i="10" s="1"/>
  <c r="W147" i="10" s="1"/>
  <c r="X147" i="10" s="1"/>
  <c r="Y147" i="10" s="1"/>
  <c r="Z147" i="10" s="1"/>
  <c r="AA147" i="10" s="1"/>
  <c r="AB147" i="10" s="1"/>
  <c r="C147" i="10"/>
  <c r="D147" i="10" s="1"/>
  <c r="B147" i="10"/>
  <c r="AC146" i="10"/>
  <c r="C146" i="10"/>
  <c r="D146" i="10" s="1"/>
  <c r="E146" i="10" s="1"/>
  <c r="F146" i="10" s="1"/>
  <c r="G146" i="10" s="1"/>
  <c r="H146" i="10" s="1"/>
  <c r="I146" i="10" s="1"/>
  <c r="J146" i="10" s="1"/>
  <c r="K146" i="10" s="1"/>
  <c r="L146" i="10" s="1"/>
  <c r="M146" i="10" s="1"/>
  <c r="N146" i="10" s="1"/>
  <c r="O146" i="10" s="1"/>
  <c r="P146" i="10" s="1"/>
  <c r="Q146" i="10" s="1"/>
  <c r="R146" i="10" s="1"/>
  <c r="S146" i="10" s="1"/>
  <c r="T146" i="10" s="1"/>
  <c r="U146" i="10" s="1"/>
  <c r="V146" i="10" s="1"/>
  <c r="W146" i="10" s="1"/>
  <c r="X146" i="10" s="1"/>
  <c r="Y146" i="10" s="1"/>
  <c r="Z146" i="10" s="1"/>
  <c r="AA146" i="10" s="1"/>
  <c r="AB146" i="10" s="1"/>
  <c r="B146" i="10"/>
  <c r="AC145" i="10"/>
  <c r="B145" i="10"/>
  <c r="C145" i="10" s="1"/>
  <c r="D145" i="10" s="1"/>
  <c r="E145" i="10" s="1"/>
  <c r="F145" i="10" s="1"/>
  <c r="G145" i="10" s="1"/>
  <c r="H145" i="10" s="1"/>
  <c r="I145" i="10" s="1"/>
  <c r="J145" i="10" s="1"/>
  <c r="K145" i="10" s="1"/>
  <c r="L145" i="10" s="1"/>
  <c r="M145" i="10" s="1"/>
  <c r="N145" i="10" s="1"/>
  <c r="O145" i="10" s="1"/>
  <c r="P145" i="10" s="1"/>
  <c r="Q145" i="10" s="1"/>
  <c r="R145" i="10" s="1"/>
  <c r="S145" i="10" s="1"/>
  <c r="T145" i="10" s="1"/>
  <c r="U145" i="10" s="1"/>
  <c r="V145" i="10" s="1"/>
  <c r="W145" i="10" s="1"/>
  <c r="X145" i="10" s="1"/>
  <c r="Y145" i="10" s="1"/>
  <c r="Z145" i="10" s="1"/>
  <c r="AA145" i="10" s="1"/>
  <c r="AB145" i="10" s="1"/>
  <c r="AC144" i="10"/>
  <c r="D144" i="10"/>
  <c r="E144" i="10" s="1"/>
  <c r="F144" i="10" s="1"/>
  <c r="G144" i="10" s="1"/>
  <c r="H144" i="10" s="1"/>
  <c r="I144" i="10" s="1"/>
  <c r="J144" i="10" s="1"/>
  <c r="K144" i="10" s="1"/>
  <c r="L144" i="10" s="1"/>
  <c r="M144" i="10" s="1"/>
  <c r="N144" i="10" s="1"/>
  <c r="O144" i="10" s="1"/>
  <c r="P144" i="10" s="1"/>
  <c r="Q144" i="10" s="1"/>
  <c r="R144" i="10" s="1"/>
  <c r="S144" i="10" s="1"/>
  <c r="T144" i="10" s="1"/>
  <c r="U144" i="10" s="1"/>
  <c r="V144" i="10" s="1"/>
  <c r="W144" i="10" s="1"/>
  <c r="X144" i="10" s="1"/>
  <c r="Y144" i="10" s="1"/>
  <c r="Z144" i="10" s="1"/>
  <c r="AA144" i="10" s="1"/>
  <c r="AB144" i="10" s="1"/>
  <c r="C144" i="10"/>
  <c r="B144" i="10"/>
  <c r="AC143" i="10"/>
  <c r="B143" i="10"/>
  <c r="AC142" i="10"/>
  <c r="C142" i="10" s="1"/>
  <c r="D142" i="10" s="1"/>
  <c r="E142" i="10"/>
  <c r="F142" i="10" s="1"/>
  <c r="G142" i="10" s="1"/>
  <c r="H142" i="10" s="1"/>
  <c r="I142" i="10" s="1"/>
  <c r="J142" i="10" s="1"/>
  <c r="K142" i="10" s="1"/>
  <c r="L142" i="10" s="1"/>
  <c r="M142" i="10" s="1"/>
  <c r="N142" i="10" s="1"/>
  <c r="O142" i="10" s="1"/>
  <c r="P142" i="10" s="1"/>
  <c r="Q142" i="10" s="1"/>
  <c r="R142" i="10" s="1"/>
  <c r="S142" i="10" s="1"/>
  <c r="T142" i="10" s="1"/>
  <c r="U142" i="10" s="1"/>
  <c r="V142" i="10" s="1"/>
  <c r="W142" i="10" s="1"/>
  <c r="X142" i="10" s="1"/>
  <c r="Y142" i="10" s="1"/>
  <c r="Z142" i="10" s="1"/>
  <c r="AA142" i="10" s="1"/>
  <c r="AB142" i="10" s="1"/>
  <c r="B142" i="10"/>
  <c r="AC141" i="10"/>
  <c r="D141" i="10"/>
  <c r="E141" i="10" s="1"/>
  <c r="F141" i="10" s="1"/>
  <c r="G141" i="10" s="1"/>
  <c r="H141" i="10" s="1"/>
  <c r="I141" i="10" s="1"/>
  <c r="J141" i="10" s="1"/>
  <c r="K141" i="10" s="1"/>
  <c r="L141" i="10" s="1"/>
  <c r="M141" i="10" s="1"/>
  <c r="N141" i="10" s="1"/>
  <c r="O141" i="10" s="1"/>
  <c r="P141" i="10" s="1"/>
  <c r="Q141" i="10" s="1"/>
  <c r="R141" i="10" s="1"/>
  <c r="S141" i="10" s="1"/>
  <c r="T141" i="10" s="1"/>
  <c r="U141" i="10" s="1"/>
  <c r="V141" i="10" s="1"/>
  <c r="W141" i="10" s="1"/>
  <c r="X141" i="10" s="1"/>
  <c r="Y141" i="10" s="1"/>
  <c r="Z141" i="10" s="1"/>
  <c r="AA141" i="10" s="1"/>
  <c r="AB141" i="10" s="1"/>
  <c r="C141" i="10"/>
  <c r="B141" i="10"/>
  <c r="AC140" i="10"/>
  <c r="C140" i="10" s="1"/>
  <c r="D140" i="10" s="1"/>
  <c r="E140" i="10"/>
  <c r="F140" i="10" s="1"/>
  <c r="G140" i="10" s="1"/>
  <c r="H140" i="10" s="1"/>
  <c r="I140" i="10" s="1"/>
  <c r="J140" i="10" s="1"/>
  <c r="K140" i="10" s="1"/>
  <c r="L140" i="10" s="1"/>
  <c r="M140" i="10" s="1"/>
  <c r="N140" i="10" s="1"/>
  <c r="O140" i="10" s="1"/>
  <c r="P140" i="10" s="1"/>
  <c r="Q140" i="10" s="1"/>
  <c r="R140" i="10" s="1"/>
  <c r="S140" i="10" s="1"/>
  <c r="T140" i="10" s="1"/>
  <c r="U140" i="10" s="1"/>
  <c r="V140" i="10" s="1"/>
  <c r="W140" i="10" s="1"/>
  <c r="X140" i="10" s="1"/>
  <c r="Y140" i="10" s="1"/>
  <c r="Z140" i="10" s="1"/>
  <c r="AA140" i="10" s="1"/>
  <c r="AB140" i="10" s="1"/>
  <c r="B140" i="10"/>
  <c r="AC139" i="10"/>
  <c r="I139" i="10"/>
  <c r="J139" i="10" s="1"/>
  <c r="K139" i="10" s="1"/>
  <c r="L139" i="10" s="1"/>
  <c r="M139" i="10" s="1"/>
  <c r="N139" i="10" s="1"/>
  <c r="O139" i="10" s="1"/>
  <c r="P139" i="10" s="1"/>
  <c r="Q139" i="10" s="1"/>
  <c r="R139" i="10" s="1"/>
  <c r="S139" i="10" s="1"/>
  <c r="T139" i="10" s="1"/>
  <c r="U139" i="10" s="1"/>
  <c r="V139" i="10" s="1"/>
  <c r="W139" i="10" s="1"/>
  <c r="X139" i="10" s="1"/>
  <c r="Y139" i="10" s="1"/>
  <c r="Z139" i="10" s="1"/>
  <c r="AA139" i="10" s="1"/>
  <c r="AB139" i="10" s="1"/>
  <c r="C139" i="10"/>
  <c r="D139" i="10" s="1"/>
  <c r="E139" i="10" s="1"/>
  <c r="F139" i="10" s="1"/>
  <c r="G139" i="10" s="1"/>
  <c r="H139" i="10" s="1"/>
  <c r="B139" i="10"/>
  <c r="AC138" i="10"/>
  <c r="F138" i="10"/>
  <c r="G138" i="10" s="1"/>
  <c r="H138" i="10" s="1"/>
  <c r="I138" i="10" s="1"/>
  <c r="J138" i="10" s="1"/>
  <c r="K138" i="10" s="1"/>
  <c r="L138" i="10" s="1"/>
  <c r="M138" i="10" s="1"/>
  <c r="N138" i="10" s="1"/>
  <c r="O138" i="10" s="1"/>
  <c r="P138" i="10" s="1"/>
  <c r="Q138" i="10" s="1"/>
  <c r="R138" i="10" s="1"/>
  <c r="S138" i="10" s="1"/>
  <c r="T138" i="10" s="1"/>
  <c r="U138" i="10" s="1"/>
  <c r="V138" i="10" s="1"/>
  <c r="W138" i="10" s="1"/>
  <c r="X138" i="10" s="1"/>
  <c r="Y138" i="10" s="1"/>
  <c r="Z138" i="10" s="1"/>
  <c r="AA138" i="10" s="1"/>
  <c r="AB138" i="10" s="1"/>
  <c r="B138" i="10"/>
  <c r="C138" i="10" s="1"/>
  <c r="D138" i="10" s="1"/>
  <c r="E138" i="10" s="1"/>
  <c r="AC137" i="10"/>
  <c r="B137" i="10"/>
  <c r="C137" i="10" s="1"/>
  <c r="D137" i="10" s="1"/>
  <c r="E137" i="10" s="1"/>
  <c r="F137" i="10" s="1"/>
  <c r="G137" i="10" s="1"/>
  <c r="H137" i="10" s="1"/>
  <c r="I137" i="10" s="1"/>
  <c r="J137" i="10" s="1"/>
  <c r="K137" i="10" s="1"/>
  <c r="L137" i="10" s="1"/>
  <c r="M137" i="10" s="1"/>
  <c r="N137" i="10" s="1"/>
  <c r="O137" i="10" s="1"/>
  <c r="P137" i="10" s="1"/>
  <c r="Q137" i="10" s="1"/>
  <c r="R137" i="10" s="1"/>
  <c r="S137" i="10" s="1"/>
  <c r="T137" i="10" s="1"/>
  <c r="U137" i="10" s="1"/>
  <c r="V137" i="10" s="1"/>
  <c r="W137" i="10" s="1"/>
  <c r="X137" i="10" s="1"/>
  <c r="Y137" i="10" s="1"/>
  <c r="Z137" i="10" s="1"/>
  <c r="AA137" i="10" s="1"/>
  <c r="AB137" i="10" s="1"/>
  <c r="AC136" i="10"/>
  <c r="C136" i="10" s="1"/>
  <c r="D136" i="10" s="1"/>
  <c r="E136" i="10" s="1"/>
  <c r="F136" i="10" s="1"/>
  <c r="G136" i="10" s="1"/>
  <c r="H136" i="10" s="1"/>
  <c r="I136" i="10" s="1"/>
  <c r="J136" i="10"/>
  <c r="K136" i="10" s="1"/>
  <c r="L136" i="10" s="1"/>
  <c r="M136" i="10" s="1"/>
  <c r="N136" i="10" s="1"/>
  <c r="O136" i="10" s="1"/>
  <c r="P136" i="10" s="1"/>
  <c r="Q136" i="10" s="1"/>
  <c r="R136" i="10" s="1"/>
  <c r="S136" i="10" s="1"/>
  <c r="T136" i="10" s="1"/>
  <c r="U136" i="10" s="1"/>
  <c r="V136" i="10" s="1"/>
  <c r="W136" i="10" s="1"/>
  <c r="X136" i="10" s="1"/>
  <c r="Y136" i="10" s="1"/>
  <c r="Z136" i="10" s="1"/>
  <c r="AA136" i="10" s="1"/>
  <c r="AB136" i="10" s="1"/>
  <c r="B136" i="10"/>
  <c r="AC135" i="10"/>
  <c r="B135" i="10"/>
  <c r="C135" i="10" s="1"/>
  <c r="D135" i="10" s="1"/>
  <c r="E135" i="10" s="1"/>
  <c r="F135" i="10" s="1"/>
  <c r="G135" i="10" s="1"/>
  <c r="H135" i="10" s="1"/>
  <c r="I135" i="10" s="1"/>
  <c r="J135" i="10" s="1"/>
  <c r="K135" i="10" s="1"/>
  <c r="L135" i="10" s="1"/>
  <c r="M135" i="10" s="1"/>
  <c r="N135" i="10" s="1"/>
  <c r="O135" i="10" s="1"/>
  <c r="P135" i="10" s="1"/>
  <c r="Q135" i="10" s="1"/>
  <c r="R135" i="10" s="1"/>
  <c r="S135" i="10" s="1"/>
  <c r="T135" i="10" s="1"/>
  <c r="U135" i="10" s="1"/>
  <c r="V135" i="10" s="1"/>
  <c r="W135" i="10" s="1"/>
  <c r="X135" i="10" s="1"/>
  <c r="Y135" i="10" s="1"/>
  <c r="Z135" i="10" s="1"/>
  <c r="AA135" i="10" s="1"/>
  <c r="AB135" i="10" s="1"/>
  <c r="AC134" i="10"/>
  <c r="C134" i="10" s="1"/>
  <c r="D134" i="10" s="1"/>
  <c r="E134" i="10" s="1"/>
  <c r="F134" i="10" s="1"/>
  <c r="G134" i="10" s="1"/>
  <c r="H134" i="10" s="1"/>
  <c r="I134" i="10" s="1"/>
  <c r="J134" i="10" s="1"/>
  <c r="K134" i="10" s="1"/>
  <c r="L134" i="10" s="1"/>
  <c r="M134" i="10" s="1"/>
  <c r="N134" i="10" s="1"/>
  <c r="O134" i="10" s="1"/>
  <c r="P134" i="10" s="1"/>
  <c r="Q134" i="10" s="1"/>
  <c r="R134" i="10" s="1"/>
  <c r="S134" i="10" s="1"/>
  <c r="T134" i="10" s="1"/>
  <c r="U134" i="10" s="1"/>
  <c r="V134" i="10" s="1"/>
  <c r="W134" i="10" s="1"/>
  <c r="X134" i="10" s="1"/>
  <c r="Y134" i="10" s="1"/>
  <c r="Z134" i="10" s="1"/>
  <c r="AA134" i="10" s="1"/>
  <c r="AB134" i="10" s="1"/>
  <c r="B134" i="10"/>
  <c r="AC133" i="10"/>
  <c r="C133" i="10"/>
  <c r="D133" i="10" s="1"/>
  <c r="E133" i="10" s="1"/>
  <c r="F133" i="10" s="1"/>
  <c r="G133" i="10" s="1"/>
  <c r="H133" i="10" s="1"/>
  <c r="I133" i="10" s="1"/>
  <c r="J133" i="10" s="1"/>
  <c r="K133" i="10" s="1"/>
  <c r="L133" i="10" s="1"/>
  <c r="M133" i="10" s="1"/>
  <c r="N133" i="10" s="1"/>
  <c r="O133" i="10" s="1"/>
  <c r="P133" i="10" s="1"/>
  <c r="Q133" i="10" s="1"/>
  <c r="R133" i="10" s="1"/>
  <c r="S133" i="10" s="1"/>
  <c r="T133" i="10" s="1"/>
  <c r="U133" i="10" s="1"/>
  <c r="V133" i="10" s="1"/>
  <c r="W133" i="10" s="1"/>
  <c r="X133" i="10" s="1"/>
  <c r="Y133" i="10" s="1"/>
  <c r="Z133" i="10" s="1"/>
  <c r="AA133" i="10" s="1"/>
  <c r="AB133" i="10" s="1"/>
  <c r="B133" i="10"/>
  <c r="AC132" i="10"/>
  <c r="B132" i="10"/>
  <c r="AC131" i="10"/>
  <c r="B131" i="10"/>
  <c r="AC130" i="10"/>
  <c r="B130" i="10"/>
  <c r="AC129" i="10"/>
  <c r="H129" i="10"/>
  <c r="I129" i="10" s="1"/>
  <c r="J129" i="10" s="1"/>
  <c r="K129" i="10" s="1"/>
  <c r="L129" i="10" s="1"/>
  <c r="M129" i="10" s="1"/>
  <c r="N129" i="10" s="1"/>
  <c r="O129" i="10" s="1"/>
  <c r="P129" i="10" s="1"/>
  <c r="Q129" i="10" s="1"/>
  <c r="R129" i="10" s="1"/>
  <c r="S129" i="10" s="1"/>
  <c r="T129" i="10" s="1"/>
  <c r="U129" i="10" s="1"/>
  <c r="V129" i="10" s="1"/>
  <c r="W129" i="10" s="1"/>
  <c r="X129" i="10" s="1"/>
  <c r="Y129" i="10" s="1"/>
  <c r="Z129" i="10" s="1"/>
  <c r="AA129" i="10" s="1"/>
  <c r="AB129" i="10" s="1"/>
  <c r="C129" i="10"/>
  <c r="D129" i="10" s="1"/>
  <c r="E129" i="10" s="1"/>
  <c r="F129" i="10" s="1"/>
  <c r="G129" i="10" s="1"/>
  <c r="B129" i="10"/>
  <c r="AC128" i="10"/>
  <c r="C128" i="10" s="1"/>
  <c r="D128" i="10" s="1"/>
  <c r="E128" i="10" s="1"/>
  <c r="F128" i="10" s="1"/>
  <c r="G128" i="10" s="1"/>
  <c r="H128" i="10" s="1"/>
  <c r="I128" i="10" s="1"/>
  <c r="J128" i="10" s="1"/>
  <c r="K128" i="10" s="1"/>
  <c r="L128" i="10" s="1"/>
  <c r="M128" i="10" s="1"/>
  <c r="N128" i="10" s="1"/>
  <c r="O128" i="10" s="1"/>
  <c r="P128" i="10" s="1"/>
  <c r="Q128" i="10" s="1"/>
  <c r="R128" i="10" s="1"/>
  <c r="S128" i="10" s="1"/>
  <c r="T128" i="10" s="1"/>
  <c r="U128" i="10" s="1"/>
  <c r="V128" i="10" s="1"/>
  <c r="W128" i="10" s="1"/>
  <c r="X128" i="10" s="1"/>
  <c r="Y128" i="10" s="1"/>
  <c r="Z128" i="10" s="1"/>
  <c r="AA128" i="10" s="1"/>
  <c r="AB128" i="10" s="1"/>
  <c r="B128" i="10"/>
  <c r="AC127" i="10"/>
  <c r="B127" i="10"/>
  <c r="C127" i="10" s="1"/>
  <c r="D127" i="10" s="1"/>
  <c r="E127" i="10" s="1"/>
  <c r="F127" i="10" s="1"/>
  <c r="G127" i="10" s="1"/>
  <c r="H127" i="10" s="1"/>
  <c r="I127" i="10" s="1"/>
  <c r="J127" i="10" s="1"/>
  <c r="K127" i="10" s="1"/>
  <c r="L127" i="10" s="1"/>
  <c r="M127" i="10" s="1"/>
  <c r="N127" i="10" s="1"/>
  <c r="O127" i="10" s="1"/>
  <c r="P127" i="10" s="1"/>
  <c r="Q127" i="10" s="1"/>
  <c r="R127" i="10" s="1"/>
  <c r="S127" i="10" s="1"/>
  <c r="T127" i="10" s="1"/>
  <c r="U127" i="10" s="1"/>
  <c r="V127" i="10" s="1"/>
  <c r="W127" i="10" s="1"/>
  <c r="X127" i="10" s="1"/>
  <c r="Y127" i="10" s="1"/>
  <c r="Z127" i="10" s="1"/>
  <c r="AA127" i="10" s="1"/>
  <c r="AB127" i="10" s="1"/>
  <c r="AC126" i="10"/>
  <c r="B126" i="10"/>
  <c r="C126" i="10" s="1"/>
  <c r="D126" i="10" s="1"/>
  <c r="E126" i="10" s="1"/>
  <c r="F126" i="10" s="1"/>
  <c r="G126" i="10" s="1"/>
  <c r="H126" i="10" s="1"/>
  <c r="I126" i="10" s="1"/>
  <c r="J126" i="10" s="1"/>
  <c r="K126" i="10" s="1"/>
  <c r="L126" i="10" s="1"/>
  <c r="M126" i="10" s="1"/>
  <c r="N126" i="10" s="1"/>
  <c r="O126" i="10" s="1"/>
  <c r="P126" i="10" s="1"/>
  <c r="Q126" i="10" s="1"/>
  <c r="R126" i="10" s="1"/>
  <c r="S126" i="10" s="1"/>
  <c r="T126" i="10" s="1"/>
  <c r="U126" i="10" s="1"/>
  <c r="V126" i="10" s="1"/>
  <c r="W126" i="10" s="1"/>
  <c r="X126" i="10" s="1"/>
  <c r="Y126" i="10" s="1"/>
  <c r="Z126" i="10" s="1"/>
  <c r="AA126" i="10" s="1"/>
  <c r="AB126" i="10" s="1"/>
  <c r="AC125" i="10"/>
  <c r="C125" i="10" s="1"/>
  <c r="D125" i="10" s="1"/>
  <c r="E125" i="10" s="1"/>
  <c r="F125" i="10" s="1"/>
  <c r="G125" i="10"/>
  <c r="H125" i="10" s="1"/>
  <c r="I125" i="10" s="1"/>
  <c r="J125" i="10" s="1"/>
  <c r="K125" i="10" s="1"/>
  <c r="L125" i="10" s="1"/>
  <c r="M125" i="10" s="1"/>
  <c r="N125" i="10" s="1"/>
  <c r="O125" i="10" s="1"/>
  <c r="P125" i="10" s="1"/>
  <c r="Q125" i="10" s="1"/>
  <c r="R125" i="10" s="1"/>
  <c r="S125" i="10" s="1"/>
  <c r="T125" i="10" s="1"/>
  <c r="U125" i="10" s="1"/>
  <c r="V125" i="10" s="1"/>
  <c r="W125" i="10" s="1"/>
  <c r="X125" i="10" s="1"/>
  <c r="Y125" i="10" s="1"/>
  <c r="Z125" i="10" s="1"/>
  <c r="AA125" i="10" s="1"/>
  <c r="AB125" i="10" s="1"/>
  <c r="B125" i="10"/>
  <c r="AC124" i="10"/>
  <c r="B124" i="10"/>
  <c r="C124" i="10" s="1"/>
  <c r="D124" i="10" s="1"/>
  <c r="E124" i="10" s="1"/>
  <c r="F124" i="10" s="1"/>
  <c r="G124" i="10" s="1"/>
  <c r="H124" i="10" s="1"/>
  <c r="I124" i="10" s="1"/>
  <c r="J124" i="10" s="1"/>
  <c r="K124" i="10" s="1"/>
  <c r="L124" i="10" s="1"/>
  <c r="M124" i="10" s="1"/>
  <c r="N124" i="10" s="1"/>
  <c r="O124" i="10" s="1"/>
  <c r="P124" i="10" s="1"/>
  <c r="Q124" i="10" s="1"/>
  <c r="R124" i="10" s="1"/>
  <c r="S124" i="10" s="1"/>
  <c r="T124" i="10" s="1"/>
  <c r="U124" i="10" s="1"/>
  <c r="V124" i="10" s="1"/>
  <c r="W124" i="10" s="1"/>
  <c r="X124" i="10" s="1"/>
  <c r="Y124" i="10" s="1"/>
  <c r="Z124" i="10" s="1"/>
  <c r="AA124" i="10" s="1"/>
  <c r="AB124" i="10" s="1"/>
  <c r="AC123" i="10"/>
  <c r="C123" i="10" s="1"/>
  <c r="D123" i="10"/>
  <c r="E123" i="10" s="1"/>
  <c r="F123" i="10" s="1"/>
  <c r="G123" i="10" s="1"/>
  <c r="H123" i="10" s="1"/>
  <c r="I123" i="10" s="1"/>
  <c r="J123" i="10" s="1"/>
  <c r="K123" i="10" s="1"/>
  <c r="L123" i="10" s="1"/>
  <c r="M123" i="10" s="1"/>
  <c r="N123" i="10" s="1"/>
  <c r="O123" i="10" s="1"/>
  <c r="P123" i="10" s="1"/>
  <c r="Q123" i="10" s="1"/>
  <c r="R123" i="10" s="1"/>
  <c r="S123" i="10" s="1"/>
  <c r="T123" i="10" s="1"/>
  <c r="U123" i="10" s="1"/>
  <c r="V123" i="10" s="1"/>
  <c r="W123" i="10" s="1"/>
  <c r="X123" i="10" s="1"/>
  <c r="Y123" i="10" s="1"/>
  <c r="Z123" i="10" s="1"/>
  <c r="AA123" i="10" s="1"/>
  <c r="AB123" i="10" s="1"/>
  <c r="B123" i="10"/>
  <c r="AC122" i="10"/>
  <c r="C122" i="10" s="1"/>
  <c r="D122" i="10" s="1"/>
  <c r="E122" i="10" s="1"/>
  <c r="F122" i="10" s="1"/>
  <c r="G122" i="10" s="1"/>
  <c r="H122" i="10" s="1"/>
  <c r="I122" i="10" s="1"/>
  <c r="J122" i="10" s="1"/>
  <c r="K122" i="10"/>
  <c r="L122" i="10" s="1"/>
  <c r="M122" i="10" s="1"/>
  <c r="N122" i="10" s="1"/>
  <c r="O122" i="10" s="1"/>
  <c r="P122" i="10" s="1"/>
  <c r="Q122" i="10" s="1"/>
  <c r="R122" i="10" s="1"/>
  <c r="S122" i="10" s="1"/>
  <c r="T122" i="10" s="1"/>
  <c r="U122" i="10" s="1"/>
  <c r="V122" i="10" s="1"/>
  <c r="W122" i="10" s="1"/>
  <c r="X122" i="10" s="1"/>
  <c r="Y122" i="10" s="1"/>
  <c r="Z122" i="10" s="1"/>
  <c r="AA122" i="10" s="1"/>
  <c r="AB122" i="10" s="1"/>
  <c r="B122" i="10"/>
  <c r="AC121" i="10"/>
  <c r="B121" i="10"/>
  <c r="AC120" i="10"/>
  <c r="N120" i="10"/>
  <c r="O120" i="10" s="1"/>
  <c r="P120" i="10" s="1"/>
  <c r="Q120" i="10" s="1"/>
  <c r="R120" i="10" s="1"/>
  <c r="S120" i="10" s="1"/>
  <c r="T120" i="10" s="1"/>
  <c r="U120" i="10" s="1"/>
  <c r="V120" i="10" s="1"/>
  <c r="W120" i="10" s="1"/>
  <c r="X120" i="10" s="1"/>
  <c r="Y120" i="10" s="1"/>
  <c r="Z120" i="10" s="1"/>
  <c r="AA120" i="10" s="1"/>
  <c r="AB120" i="10" s="1"/>
  <c r="G120" i="10"/>
  <c r="H120" i="10" s="1"/>
  <c r="I120" i="10" s="1"/>
  <c r="J120" i="10" s="1"/>
  <c r="K120" i="10" s="1"/>
  <c r="L120" i="10" s="1"/>
  <c r="M120" i="10" s="1"/>
  <c r="D120" i="10"/>
  <c r="E120" i="10" s="1"/>
  <c r="F120" i="10" s="1"/>
  <c r="B120" i="10"/>
  <c r="C120" i="10" s="1"/>
  <c r="AC119" i="10"/>
  <c r="C119" i="10" s="1"/>
  <c r="D119" i="10" s="1"/>
  <c r="J119" i="10"/>
  <c r="K119" i="10" s="1"/>
  <c r="L119" i="10" s="1"/>
  <c r="M119" i="10" s="1"/>
  <c r="N119" i="10" s="1"/>
  <c r="O119" i="10" s="1"/>
  <c r="P119" i="10" s="1"/>
  <c r="Q119" i="10" s="1"/>
  <c r="R119" i="10" s="1"/>
  <c r="S119" i="10" s="1"/>
  <c r="T119" i="10" s="1"/>
  <c r="U119" i="10" s="1"/>
  <c r="V119" i="10" s="1"/>
  <c r="W119" i="10" s="1"/>
  <c r="X119" i="10" s="1"/>
  <c r="Y119" i="10" s="1"/>
  <c r="Z119" i="10" s="1"/>
  <c r="AA119" i="10" s="1"/>
  <c r="AB119" i="10" s="1"/>
  <c r="E119" i="10"/>
  <c r="F119" i="10" s="1"/>
  <c r="G119" i="10" s="1"/>
  <c r="H119" i="10" s="1"/>
  <c r="I119" i="10" s="1"/>
  <c r="B119" i="10"/>
  <c r="AC118" i="10"/>
  <c r="P118" i="10"/>
  <c r="Q118" i="10" s="1"/>
  <c r="R118" i="10" s="1"/>
  <c r="S118" i="10" s="1"/>
  <c r="T118" i="10" s="1"/>
  <c r="U118" i="10" s="1"/>
  <c r="V118" i="10" s="1"/>
  <c r="W118" i="10" s="1"/>
  <c r="X118" i="10" s="1"/>
  <c r="Y118" i="10" s="1"/>
  <c r="Z118" i="10" s="1"/>
  <c r="AA118" i="10" s="1"/>
  <c r="AB118" i="10" s="1"/>
  <c r="C118" i="10"/>
  <c r="D118" i="10" s="1"/>
  <c r="E118" i="10" s="1"/>
  <c r="F118" i="10" s="1"/>
  <c r="G118" i="10" s="1"/>
  <c r="H118" i="10" s="1"/>
  <c r="I118" i="10" s="1"/>
  <c r="J118" i="10" s="1"/>
  <c r="K118" i="10" s="1"/>
  <c r="L118" i="10" s="1"/>
  <c r="M118" i="10" s="1"/>
  <c r="N118" i="10" s="1"/>
  <c r="O118" i="10" s="1"/>
  <c r="B118" i="10"/>
  <c r="AC117" i="10"/>
  <c r="D117" i="10"/>
  <c r="E117" i="10" s="1"/>
  <c r="F117" i="10" s="1"/>
  <c r="G117" i="10" s="1"/>
  <c r="H117" i="10" s="1"/>
  <c r="I117" i="10" s="1"/>
  <c r="J117" i="10" s="1"/>
  <c r="K117" i="10" s="1"/>
  <c r="L117" i="10" s="1"/>
  <c r="M117" i="10" s="1"/>
  <c r="N117" i="10" s="1"/>
  <c r="O117" i="10" s="1"/>
  <c r="P117" i="10" s="1"/>
  <c r="Q117" i="10" s="1"/>
  <c r="R117" i="10" s="1"/>
  <c r="S117" i="10" s="1"/>
  <c r="T117" i="10" s="1"/>
  <c r="U117" i="10" s="1"/>
  <c r="V117" i="10" s="1"/>
  <c r="W117" i="10" s="1"/>
  <c r="X117" i="10" s="1"/>
  <c r="Y117" i="10" s="1"/>
  <c r="Z117" i="10" s="1"/>
  <c r="AA117" i="10" s="1"/>
  <c r="AB117" i="10" s="1"/>
  <c r="C117" i="10"/>
  <c r="B117" i="10"/>
  <c r="AC116" i="10"/>
  <c r="C116" i="10" s="1"/>
  <c r="D116" i="10" s="1"/>
  <c r="E116" i="10" s="1"/>
  <c r="F116" i="10"/>
  <c r="G116" i="10" s="1"/>
  <c r="H116" i="10" s="1"/>
  <c r="I116" i="10" s="1"/>
  <c r="J116" i="10" s="1"/>
  <c r="K116" i="10" s="1"/>
  <c r="L116" i="10" s="1"/>
  <c r="M116" i="10" s="1"/>
  <c r="N116" i="10" s="1"/>
  <c r="O116" i="10" s="1"/>
  <c r="P116" i="10" s="1"/>
  <c r="Q116" i="10" s="1"/>
  <c r="R116" i="10" s="1"/>
  <c r="S116" i="10" s="1"/>
  <c r="T116" i="10" s="1"/>
  <c r="U116" i="10" s="1"/>
  <c r="V116" i="10" s="1"/>
  <c r="W116" i="10" s="1"/>
  <c r="X116" i="10" s="1"/>
  <c r="Y116" i="10" s="1"/>
  <c r="Z116" i="10" s="1"/>
  <c r="AA116" i="10" s="1"/>
  <c r="AB116" i="10" s="1"/>
  <c r="B116" i="10"/>
  <c r="AC115" i="10"/>
  <c r="B115" i="10"/>
  <c r="AC114" i="10"/>
  <c r="C114" i="10"/>
  <c r="D114" i="10" s="1"/>
  <c r="B114" i="10"/>
  <c r="AC113" i="10"/>
  <c r="F113" i="10"/>
  <c r="G113" i="10" s="1"/>
  <c r="D113" i="10"/>
  <c r="E113" i="10" s="1"/>
  <c r="C113" i="10"/>
  <c r="B113" i="10"/>
  <c r="AC108" i="10"/>
  <c r="B108" i="10"/>
  <c r="C108" i="10" s="1"/>
  <c r="D108" i="10" s="1"/>
  <c r="E108" i="10" s="1"/>
  <c r="F108" i="10" s="1"/>
  <c r="G108" i="10" s="1"/>
  <c r="H108" i="10" s="1"/>
  <c r="I108" i="10" s="1"/>
  <c r="J108" i="10" s="1"/>
  <c r="K108" i="10" s="1"/>
  <c r="L108" i="10" s="1"/>
  <c r="M108" i="10" s="1"/>
  <c r="N108" i="10" s="1"/>
  <c r="O108" i="10" s="1"/>
  <c r="P108" i="10" s="1"/>
  <c r="Q108" i="10" s="1"/>
  <c r="R108" i="10" s="1"/>
  <c r="S108" i="10" s="1"/>
  <c r="T108" i="10" s="1"/>
  <c r="U108" i="10" s="1"/>
  <c r="V108" i="10" s="1"/>
  <c r="W108" i="10" s="1"/>
  <c r="X108" i="10" s="1"/>
  <c r="Y108" i="10" s="1"/>
  <c r="Z108" i="10" s="1"/>
  <c r="AA108" i="10" s="1"/>
  <c r="AB108" i="10" s="1"/>
  <c r="AC107" i="10"/>
  <c r="B107" i="10"/>
  <c r="D106" i="10"/>
  <c r="E106" i="10" s="1"/>
  <c r="F106" i="10" s="1"/>
  <c r="G106" i="10" s="1"/>
  <c r="H106" i="10" s="1"/>
  <c r="I106" i="10" s="1"/>
  <c r="J106" i="10" s="1"/>
  <c r="K106" i="10" s="1"/>
  <c r="L106" i="10" s="1"/>
  <c r="M106" i="10" s="1"/>
  <c r="N106" i="10" s="1"/>
  <c r="O106" i="10" s="1"/>
  <c r="P106" i="10" s="1"/>
  <c r="Q106" i="10" s="1"/>
  <c r="R106" i="10" s="1"/>
  <c r="S106" i="10" s="1"/>
  <c r="T106" i="10" s="1"/>
  <c r="U106" i="10" s="1"/>
  <c r="V106" i="10" s="1"/>
  <c r="W106" i="10" s="1"/>
  <c r="X106" i="10" s="1"/>
  <c r="Y106" i="10" s="1"/>
  <c r="Z106" i="10" s="1"/>
  <c r="AA106" i="10" s="1"/>
  <c r="AB106" i="10" s="1"/>
  <c r="C106" i="10"/>
  <c r="AC105" i="10"/>
  <c r="B105" i="10"/>
  <c r="C105" i="10" s="1"/>
  <c r="D105" i="10" s="1"/>
  <c r="E105" i="10" s="1"/>
  <c r="F105" i="10" s="1"/>
  <c r="G105" i="10" s="1"/>
  <c r="H105" i="10" s="1"/>
  <c r="I105" i="10" s="1"/>
  <c r="J105" i="10" s="1"/>
  <c r="K105" i="10" s="1"/>
  <c r="L105" i="10" s="1"/>
  <c r="M105" i="10" s="1"/>
  <c r="N105" i="10" s="1"/>
  <c r="O105" i="10" s="1"/>
  <c r="P105" i="10" s="1"/>
  <c r="Q105" i="10" s="1"/>
  <c r="R105" i="10" s="1"/>
  <c r="S105" i="10" s="1"/>
  <c r="T105" i="10" s="1"/>
  <c r="U105" i="10" s="1"/>
  <c r="V105" i="10" s="1"/>
  <c r="W105" i="10" s="1"/>
  <c r="X105" i="10" s="1"/>
  <c r="Y105" i="10" s="1"/>
  <c r="Z105" i="10" s="1"/>
  <c r="AA105" i="10" s="1"/>
  <c r="AB105" i="10" s="1"/>
  <c r="AC104" i="10"/>
  <c r="C104" i="10" s="1"/>
  <c r="D104" i="10" s="1"/>
  <c r="E104" i="10"/>
  <c r="F104" i="10" s="1"/>
  <c r="G104" i="10" s="1"/>
  <c r="H104" i="10" s="1"/>
  <c r="I104" i="10" s="1"/>
  <c r="J104" i="10" s="1"/>
  <c r="K104" i="10" s="1"/>
  <c r="L104" i="10" s="1"/>
  <c r="M104" i="10" s="1"/>
  <c r="N104" i="10" s="1"/>
  <c r="O104" i="10" s="1"/>
  <c r="P104" i="10" s="1"/>
  <c r="Q104" i="10" s="1"/>
  <c r="R104" i="10" s="1"/>
  <c r="S104" i="10" s="1"/>
  <c r="T104" i="10" s="1"/>
  <c r="U104" i="10" s="1"/>
  <c r="V104" i="10" s="1"/>
  <c r="W104" i="10" s="1"/>
  <c r="X104" i="10" s="1"/>
  <c r="Y104" i="10" s="1"/>
  <c r="Z104" i="10" s="1"/>
  <c r="AA104" i="10" s="1"/>
  <c r="AB104" i="10" s="1"/>
  <c r="B104" i="10"/>
  <c r="AC103" i="10"/>
  <c r="B103" i="10"/>
  <c r="C103" i="10" s="1"/>
  <c r="D103" i="10" s="1"/>
  <c r="E103" i="10" s="1"/>
  <c r="F103" i="10" s="1"/>
  <c r="G103" i="10" s="1"/>
  <c r="H103" i="10" s="1"/>
  <c r="I103" i="10" s="1"/>
  <c r="J103" i="10" s="1"/>
  <c r="K103" i="10" s="1"/>
  <c r="L103" i="10" s="1"/>
  <c r="M103" i="10" s="1"/>
  <c r="N103" i="10" s="1"/>
  <c r="O103" i="10" s="1"/>
  <c r="P103" i="10" s="1"/>
  <c r="Q103" i="10" s="1"/>
  <c r="R103" i="10" s="1"/>
  <c r="S103" i="10" s="1"/>
  <c r="T103" i="10" s="1"/>
  <c r="U103" i="10" s="1"/>
  <c r="V103" i="10" s="1"/>
  <c r="W103" i="10" s="1"/>
  <c r="X103" i="10" s="1"/>
  <c r="Y103" i="10" s="1"/>
  <c r="Z103" i="10" s="1"/>
  <c r="AA103" i="10" s="1"/>
  <c r="AB103" i="10" s="1"/>
  <c r="AC102" i="10"/>
  <c r="O102" i="10"/>
  <c r="P102" i="10" s="1"/>
  <c r="Q102" i="10" s="1"/>
  <c r="R102" i="10" s="1"/>
  <c r="S102" i="10" s="1"/>
  <c r="T102" i="10" s="1"/>
  <c r="U102" i="10" s="1"/>
  <c r="V102" i="10" s="1"/>
  <c r="W102" i="10" s="1"/>
  <c r="X102" i="10" s="1"/>
  <c r="Y102" i="10" s="1"/>
  <c r="Z102" i="10" s="1"/>
  <c r="AA102" i="10" s="1"/>
  <c r="AB102" i="10" s="1"/>
  <c r="L102" i="10"/>
  <c r="M102" i="10" s="1"/>
  <c r="N102" i="10" s="1"/>
  <c r="H102" i="10"/>
  <c r="I102" i="10" s="1"/>
  <c r="J102" i="10" s="1"/>
  <c r="K102" i="10" s="1"/>
  <c r="F102" i="10"/>
  <c r="G102" i="10" s="1"/>
  <c r="D102" i="10"/>
  <c r="E102" i="10" s="1"/>
  <c r="C102" i="10"/>
  <c r="B102" i="10"/>
  <c r="AC101" i="10"/>
  <c r="B101" i="10"/>
  <c r="C101" i="10" s="1"/>
  <c r="D101" i="10" s="1"/>
  <c r="E101" i="10" s="1"/>
  <c r="F101" i="10" s="1"/>
  <c r="G101" i="10" s="1"/>
  <c r="H101" i="10" s="1"/>
  <c r="I101" i="10" s="1"/>
  <c r="J101" i="10" s="1"/>
  <c r="K101" i="10" s="1"/>
  <c r="L101" i="10" s="1"/>
  <c r="M101" i="10" s="1"/>
  <c r="N101" i="10" s="1"/>
  <c r="O101" i="10" s="1"/>
  <c r="P101" i="10" s="1"/>
  <c r="Q101" i="10" s="1"/>
  <c r="R101" i="10" s="1"/>
  <c r="S101" i="10" s="1"/>
  <c r="T101" i="10" s="1"/>
  <c r="U101" i="10" s="1"/>
  <c r="V101" i="10" s="1"/>
  <c r="W101" i="10" s="1"/>
  <c r="X101" i="10" s="1"/>
  <c r="Y101" i="10" s="1"/>
  <c r="Z101" i="10" s="1"/>
  <c r="AA101" i="10" s="1"/>
  <c r="AB101" i="10" s="1"/>
  <c r="AC100" i="10"/>
  <c r="C100" i="10"/>
  <c r="D100" i="10" s="1"/>
  <c r="E100" i="10" s="1"/>
  <c r="F100" i="10" s="1"/>
  <c r="G100" i="10" s="1"/>
  <c r="H100" i="10" s="1"/>
  <c r="I100" i="10" s="1"/>
  <c r="J100" i="10" s="1"/>
  <c r="K100" i="10" s="1"/>
  <c r="L100" i="10" s="1"/>
  <c r="M100" i="10" s="1"/>
  <c r="N100" i="10" s="1"/>
  <c r="O100" i="10" s="1"/>
  <c r="P100" i="10" s="1"/>
  <c r="Q100" i="10" s="1"/>
  <c r="R100" i="10" s="1"/>
  <c r="S100" i="10" s="1"/>
  <c r="T100" i="10" s="1"/>
  <c r="U100" i="10" s="1"/>
  <c r="V100" i="10" s="1"/>
  <c r="W100" i="10" s="1"/>
  <c r="X100" i="10" s="1"/>
  <c r="Y100" i="10" s="1"/>
  <c r="Z100" i="10" s="1"/>
  <c r="AA100" i="10" s="1"/>
  <c r="AB100" i="10" s="1"/>
  <c r="B100" i="10"/>
  <c r="AC99" i="10"/>
  <c r="L99" i="10"/>
  <c r="M99" i="10" s="1"/>
  <c r="N99" i="10" s="1"/>
  <c r="O99" i="10" s="1"/>
  <c r="P99" i="10" s="1"/>
  <c r="Q99" i="10" s="1"/>
  <c r="R99" i="10" s="1"/>
  <c r="S99" i="10" s="1"/>
  <c r="T99" i="10" s="1"/>
  <c r="U99" i="10" s="1"/>
  <c r="V99" i="10" s="1"/>
  <c r="W99" i="10" s="1"/>
  <c r="X99" i="10" s="1"/>
  <c r="Y99" i="10" s="1"/>
  <c r="Z99" i="10" s="1"/>
  <c r="AA99" i="10" s="1"/>
  <c r="AB99" i="10" s="1"/>
  <c r="G99" i="10"/>
  <c r="H99" i="10" s="1"/>
  <c r="I99" i="10" s="1"/>
  <c r="J99" i="10" s="1"/>
  <c r="K99" i="10" s="1"/>
  <c r="B99" i="10"/>
  <c r="C99" i="10" s="1"/>
  <c r="D99" i="10" s="1"/>
  <c r="E99" i="10" s="1"/>
  <c r="F99" i="10" s="1"/>
  <c r="AC98" i="10"/>
  <c r="J98" i="10"/>
  <c r="K98" i="10" s="1"/>
  <c r="L98" i="10" s="1"/>
  <c r="M98" i="10" s="1"/>
  <c r="N98" i="10" s="1"/>
  <c r="O98" i="10" s="1"/>
  <c r="P98" i="10" s="1"/>
  <c r="Q98" i="10" s="1"/>
  <c r="R98" i="10" s="1"/>
  <c r="S98" i="10" s="1"/>
  <c r="T98" i="10" s="1"/>
  <c r="U98" i="10" s="1"/>
  <c r="V98" i="10" s="1"/>
  <c r="W98" i="10" s="1"/>
  <c r="X98" i="10" s="1"/>
  <c r="Y98" i="10" s="1"/>
  <c r="Z98" i="10" s="1"/>
  <c r="AA98" i="10" s="1"/>
  <c r="AB98" i="10" s="1"/>
  <c r="G98" i="10"/>
  <c r="H98" i="10" s="1"/>
  <c r="I98" i="10" s="1"/>
  <c r="E98" i="10"/>
  <c r="F98" i="10" s="1"/>
  <c r="B98" i="10"/>
  <c r="C98" i="10" s="1"/>
  <c r="D98" i="10" s="1"/>
  <c r="AC97" i="10"/>
  <c r="B97" i="10"/>
  <c r="C97" i="10" s="1"/>
  <c r="D97" i="10" s="1"/>
  <c r="E97" i="10" s="1"/>
  <c r="F97" i="10" s="1"/>
  <c r="G97" i="10" s="1"/>
  <c r="H97" i="10" s="1"/>
  <c r="I97" i="10" s="1"/>
  <c r="J97" i="10" s="1"/>
  <c r="K97" i="10" s="1"/>
  <c r="L97" i="10" s="1"/>
  <c r="M97" i="10" s="1"/>
  <c r="N97" i="10" s="1"/>
  <c r="O97" i="10" s="1"/>
  <c r="P97" i="10" s="1"/>
  <c r="Q97" i="10" s="1"/>
  <c r="R97" i="10" s="1"/>
  <c r="S97" i="10" s="1"/>
  <c r="T97" i="10" s="1"/>
  <c r="U97" i="10" s="1"/>
  <c r="V97" i="10" s="1"/>
  <c r="W97" i="10" s="1"/>
  <c r="X97" i="10" s="1"/>
  <c r="Y97" i="10" s="1"/>
  <c r="Z97" i="10" s="1"/>
  <c r="AA97" i="10" s="1"/>
  <c r="AB97" i="10" s="1"/>
  <c r="AC96" i="10"/>
  <c r="B96" i="10"/>
  <c r="AC95" i="10"/>
  <c r="C95" i="10" s="1"/>
  <c r="D95" i="10" s="1"/>
  <c r="E95" i="10" s="1"/>
  <c r="F95" i="10" s="1"/>
  <c r="G95" i="10" s="1"/>
  <c r="H95" i="10" s="1"/>
  <c r="I95" i="10" s="1"/>
  <c r="J95" i="10" s="1"/>
  <c r="K95" i="10" s="1"/>
  <c r="L95" i="10" s="1"/>
  <c r="M95" i="10" s="1"/>
  <c r="N95" i="10" s="1"/>
  <c r="O95" i="10" s="1"/>
  <c r="P95" i="10" s="1"/>
  <c r="Q95" i="10" s="1"/>
  <c r="R95" i="10" s="1"/>
  <c r="S95" i="10" s="1"/>
  <c r="T95" i="10" s="1"/>
  <c r="U95" i="10" s="1"/>
  <c r="V95" i="10"/>
  <c r="W95" i="10" s="1"/>
  <c r="X95" i="10" s="1"/>
  <c r="Y95" i="10" s="1"/>
  <c r="Z95" i="10" s="1"/>
  <c r="AA95" i="10" s="1"/>
  <c r="AB95" i="10" s="1"/>
  <c r="B95" i="10"/>
  <c r="AC94" i="10"/>
  <c r="E94" i="10"/>
  <c r="F94" i="10" s="1"/>
  <c r="G94" i="10" s="1"/>
  <c r="H94" i="10" s="1"/>
  <c r="I94" i="10" s="1"/>
  <c r="J94" i="10" s="1"/>
  <c r="K94" i="10" s="1"/>
  <c r="L94" i="10" s="1"/>
  <c r="M94" i="10" s="1"/>
  <c r="N94" i="10" s="1"/>
  <c r="O94" i="10" s="1"/>
  <c r="P94" i="10" s="1"/>
  <c r="Q94" i="10" s="1"/>
  <c r="R94" i="10" s="1"/>
  <c r="S94" i="10" s="1"/>
  <c r="T94" i="10" s="1"/>
  <c r="U94" i="10" s="1"/>
  <c r="V94" i="10" s="1"/>
  <c r="W94" i="10" s="1"/>
  <c r="X94" i="10" s="1"/>
  <c r="Y94" i="10" s="1"/>
  <c r="Z94" i="10" s="1"/>
  <c r="AA94" i="10" s="1"/>
  <c r="AB94" i="10" s="1"/>
  <c r="C94" i="10"/>
  <c r="D94" i="10" s="1"/>
  <c r="B94" i="10"/>
  <c r="AC93" i="10"/>
  <c r="F93" i="10"/>
  <c r="G93" i="10" s="1"/>
  <c r="H93" i="10" s="1"/>
  <c r="I93" i="10" s="1"/>
  <c r="J93" i="10" s="1"/>
  <c r="K93" i="10" s="1"/>
  <c r="L93" i="10" s="1"/>
  <c r="M93" i="10" s="1"/>
  <c r="N93" i="10" s="1"/>
  <c r="O93" i="10" s="1"/>
  <c r="P93" i="10" s="1"/>
  <c r="Q93" i="10" s="1"/>
  <c r="R93" i="10" s="1"/>
  <c r="S93" i="10" s="1"/>
  <c r="T93" i="10" s="1"/>
  <c r="U93" i="10" s="1"/>
  <c r="V93" i="10" s="1"/>
  <c r="W93" i="10" s="1"/>
  <c r="X93" i="10" s="1"/>
  <c r="Y93" i="10" s="1"/>
  <c r="Z93" i="10" s="1"/>
  <c r="AA93" i="10" s="1"/>
  <c r="AB93" i="10" s="1"/>
  <c r="B93" i="10"/>
  <c r="C93" i="10" s="1"/>
  <c r="D93" i="10" s="1"/>
  <c r="E93" i="10" s="1"/>
  <c r="AC92" i="10"/>
  <c r="C92" i="10"/>
  <c r="D92" i="10" s="1"/>
  <c r="E92" i="10" s="1"/>
  <c r="F92" i="10" s="1"/>
  <c r="G92" i="10" s="1"/>
  <c r="H92" i="10" s="1"/>
  <c r="I92" i="10" s="1"/>
  <c r="J92" i="10" s="1"/>
  <c r="K92" i="10" s="1"/>
  <c r="L92" i="10" s="1"/>
  <c r="M92" i="10" s="1"/>
  <c r="N92" i="10" s="1"/>
  <c r="O92" i="10" s="1"/>
  <c r="P92" i="10" s="1"/>
  <c r="Q92" i="10" s="1"/>
  <c r="R92" i="10" s="1"/>
  <c r="S92" i="10" s="1"/>
  <c r="T92" i="10" s="1"/>
  <c r="U92" i="10" s="1"/>
  <c r="V92" i="10" s="1"/>
  <c r="W92" i="10" s="1"/>
  <c r="X92" i="10" s="1"/>
  <c r="Y92" i="10" s="1"/>
  <c r="Z92" i="10" s="1"/>
  <c r="AA92" i="10" s="1"/>
  <c r="AB92" i="10" s="1"/>
  <c r="B92" i="10"/>
  <c r="AC91" i="10"/>
  <c r="C91" i="10" s="1"/>
  <c r="D91" i="10" s="1"/>
  <c r="E91" i="10" s="1"/>
  <c r="F91" i="10" s="1"/>
  <c r="G91" i="10" s="1"/>
  <c r="H91" i="10" s="1"/>
  <c r="I91" i="10" s="1"/>
  <c r="J91" i="10" s="1"/>
  <c r="K91" i="10" s="1"/>
  <c r="L91" i="10" s="1"/>
  <c r="M91" i="10" s="1"/>
  <c r="N91" i="10" s="1"/>
  <c r="O91" i="10" s="1"/>
  <c r="P91" i="10" s="1"/>
  <c r="Q91" i="10" s="1"/>
  <c r="R91" i="10"/>
  <c r="S91" i="10" s="1"/>
  <c r="T91" i="10" s="1"/>
  <c r="U91" i="10" s="1"/>
  <c r="V91" i="10" s="1"/>
  <c r="W91" i="10" s="1"/>
  <c r="X91" i="10" s="1"/>
  <c r="Y91" i="10" s="1"/>
  <c r="Z91" i="10" s="1"/>
  <c r="AA91" i="10" s="1"/>
  <c r="AB91" i="10" s="1"/>
  <c r="B91" i="10"/>
  <c r="AC90" i="10"/>
  <c r="D90" i="10"/>
  <c r="E90" i="10" s="1"/>
  <c r="F90" i="10" s="1"/>
  <c r="G90" i="10" s="1"/>
  <c r="H90" i="10" s="1"/>
  <c r="I90" i="10" s="1"/>
  <c r="J90" i="10" s="1"/>
  <c r="K90" i="10" s="1"/>
  <c r="L90" i="10" s="1"/>
  <c r="M90" i="10" s="1"/>
  <c r="N90" i="10" s="1"/>
  <c r="O90" i="10" s="1"/>
  <c r="P90" i="10" s="1"/>
  <c r="Q90" i="10" s="1"/>
  <c r="R90" i="10" s="1"/>
  <c r="S90" i="10" s="1"/>
  <c r="T90" i="10" s="1"/>
  <c r="U90" i="10" s="1"/>
  <c r="V90" i="10" s="1"/>
  <c r="W90" i="10" s="1"/>
  <c r="X90" i="10" s="1"/>
  <c r="Y90" i="10" s="1"/>
  <c r="Z90" i="10" s="1"/>
  <c r="AA90" i="10" s="1"/>
  <c r="AB90" i="10" s="1"/>
  <c r="B90" i="10"/>
  <c r="C90" i="10" s="1"/>
  <c r="AC89" i="10"/>
  <c r="C89" i="10" s="1"/>
  <c r="D89" i="10" s="1"/>
  <c r="E89" i="10" s="1"/>
  <c r="F89" i="10" s="1"/>
  <c r="G89" i="10" s="1"/>
  <c r="H89" i="10" s="1"/>
  <c r="I89" i="10" s="1"/>
  <c r="J89" i="10" s="1"/>
  <c r="K89" i="10" s="1"/>
  <c r="L89" i="10" s="1"/>
  <c r="M89" i="10" s="1"/>
  <c r="N89" i="10" s="1"/>
  <c r="O89" i="10"/>
  <c r="P89" i="10" s="1"/>
  <c r="Q89" i="10" s="1"/>
  <c r="R89" i="10" s="1"/>
  <c r="S89" i="10" s="1"/>
  <c r="T89" i="10" s="1"/>
  <c r="U89" i="10" s="1"/>
  <c r="V89" i="10" s="1"/>
  <c r="W89" i="10" s="1"/>
  <c r="X89" i="10" s="1"/>
  <c r="Y89" i="10" s="1"/>
  <c r="Z89" i="10" s="1"/>
  <c r="AA89" i="10" s="1"/>
  <c r="AB89" i="10" s="1"/>
  <c r="B89" i="10"/>
  <c r="AC88" i="10"/>
  <c r="B88" i="10"/>
  <c r="C88" i="10" s="1"/>
  <c r="D88" i="10" s="1"/>
  <c r="E88" i="10" s="1"/>
  <c r="F88" i="10" s="1"/>
  <c r="G88" i="10" s="1"/>
  <c r="H88" i="10" s="1"/>
  <c r="I88" i="10" s="1"/>
  <c r="J88" i="10" s="1"/>
  <c r="K88" i="10" s="1"/>
  <c r="L88" i="10" s="1"/>
  <c r="M88" i="10" s="1"/>
  <c r="N88" i="10" s="1"/>
  <c r="O88" i="10" s="1"/>
  <c r="P88" i="10" s="1"/>
  <c r="Q88" i="10" s="1"/>
  <c r="R88" i="10" s="1"/>
  <c r="S88" i="10" s="1"/>
  <c r="T88" i="10" s="1"/>
  <c r="U88" i="10" s="1"/>
  <c r="V88" i="10" s="1"/>
  <c r="W88" i="10" s="1"/>
  <c r="X88" i="10" s="1"/>
  <c r="Y88" i="10" s="1"/>
  <c r="Z88" i="10" s="1"/>
  <c r="AA88" i="10" s="1"/>
  <c r="AB88" i="10" s="1"/>
  <c r="AC87" i="10"/>
  <c r="C87" i="10" s="1"/>
  <c r="D87" i="10" s="1"/>
  <c r="E87" i="10" s="1"/>
  <c r="F87" i="10" s="1"/>
  <c r="G87" i="10" s="1"/>
  <c r="H87" i="10" s="1"/>
  <c r="I87" i="10" s="1"/>
  <c r="J87" i="10" s="1"/>
  <c r="K87" i="10" s="1"/>
  <c r="L87" i="10" s="1"/>
  <c r="M87" i="10" s="1"/>
  <c r="N87" i="10" s="1"/>
  <c r="O87" i="10" s="1"/>
  <c r="P87" i="10" s="1"/>
  <c r="Q87" i="10" s="1"/>
  <c r="R87" i="10" s="1"/>
  <c r="S87" i="10" s="1"/>
  <c r="T87" i="10" s="1"/>
  <c r="U87" i="10" s="1"/>
  <c r="V87" i="10" s="1"/>
  <c r="W87" i="10" s="1"/>
  <c r="X87" i="10" s="1"/>
  <c r="Y87" i="10" s="1"/>
  <c r="Z87" i="10" s="1"/>
  <c r="AA87" i="10" s="1"/>
  <c r="AB87" i="10" s="1"/>
  <c r="B87" i="10"/>
  <c r="AC86" i="10"/>
  <c r="B86" i="10"/>
  <c r="C86" i="10" s="1"/>
  <c r="D86" i="10" s="1"/>
  <c r="E86" i="10" s="1"/>
  <c r="F86" i="10" s="1"/>
  <c r="G86" i="10" s="1"/>
  <c r="H86" i="10" s="1"/>
  <c r="I86" i="10" s="1"/>
  <c r="J86" i="10" s="1"/>
  <c r="K86" i="10" s="1"/>
  <c r="L86" i="10" s="1"/>
  <c r="M86" i="10" s="1"/>
  <c r="N86" i="10" s="1"/>
  <c r="O86" i="10" s="1"/>
  <c r="P86" i="10" s="1"/>
  <c r="Q86" i="10" s="1"/>
  <c r="R86" i="10" s="1"/>
  <c r="S86" i="10" s="1"/>
  <c r="T86" i="10" s="1"/>
  <c r="U86" i="10" s="1"/>
  <c r="V86" i="10" s="1"/>
  <c r="W86" i="10" s="1"/>
  <c r="X86" i="10" s="1"/>
  <c r="Y86" i="10" s="1"/>
  <c r="Z86" i="10" s="1"/>
  <c r="AA86" i="10" s="1"/>
  <c r="AB86" i="10" s="1"/>
  <c r="AC85" i="10"/>
  <c r="G85" i="10"/>
  <c r="H85" i="10" s="1"/>
  <c r="I85" i="10" s="1"/>
  <c r="J85" i="10" s="1"/>
  <c r="K85" i="10" s="1"/>
  <c r="L85" i="10" s="1"/>
  <c r="M85" i="10" s="1"/>
  <c r="N85" i="10" s="1"/>
  <c r="O85" i="10" s="1"/>
  <c r="P85" i="10" s="1"/>
  <c r="Q85" i="10" s="1"/>
  <c r="R85" i="10" s="1"/>
  <c r="S85" i="10" s="1"/>
  <c r="T85" i="10" s="1"/>
  <c r="U85" i="10" s="1"/>
  <c r="V85" i="10" s="1"/>
  <c r="W85" i="10" s="1"/>
  <c r="X85" i="10" s="1"/>
  <c r="Y85" i="10" s="1"/>
  <c r="Z85" i="10" s="1"/>
  <c r="AA85" i="10" s="1"/>
  <c r="AB85" i="10" s="1"/>
  <c r="C85" i="10"/>
  <c r="D85" i="10" s="1"/>
  <c r="E85" i="10" s="1"/>
  <c r="F85" i="10" s="1"/>
  <c r="B85" i="10"/>
  <c r="AC84" i="10"/>
  <c r="B84" i="10"/>
  <c r="C84" i="10" s="1"/>
  <c r="D84" i="10" s="1"/>
  <c r="E84" i="10" s="1"/>
  <c r="F84" i="10" s="1"/>
  <c r="G84" i="10" s="1"/>
  <c r="H84" i="10" s="1"/>
  <c r="I84" i="10" s="1"/>
  <c r="J84" i="10" s="1"/>
  <c r="K84" i="10" s="1"/>
  <c r="L84" i="10" s="1"/>
  <c r="M84" i="10" s="1"/>
  <c r="N84" i="10" s="1"/>
  <c r="O84" i="10" s="1"/>
  <c r="P84" i="10" s="1"/>
  <c r="Q84" i="10" s="1"/>
  <c r="R84" i="10" s="1"/>
  <c r="S84" i="10" s="1"/>
  <c r="T84" i="10" s="1"/>
  <c r="U84" i="10" s="1"/>
  <c r="V84" i="10" s="1"/>
  <c r="W84" i="10" s="1"/>
  <c r="X84" i="10" s="1"/>
  <c r="Y84" i="10" s="1"/>
  <c r="Z84" i="10" s="1"/>
  <c r="AA84" i="10" s="1"/>
  <c r="AB84" i="10" s="1"/>
  <c r="AC83" i="10"/>
  <c r="F83" i="10"/>
  <c r="G83" i="10" s="1"/>
  <c r="H83" i="10" s="1"/>
  <c r="I83" i="10" s="1"/>
  <c r="J83" i="10" s="1"/>
  <c r="K83" i="10" s="1"/>
  <c r="L83" i="10" s="1"/>
  <c r="M83" i="10" s="1"/>
  <c r="N83" i="10" s="1"/>
  <c r="O83" i="10" s="1"/>
  <c r="P83" i="10" s="1"/>
  <c r="Q83" i="10" s="1"/>
  <c r="R83" i="10" s="1"/>
  <c r="S83" i="10" s="1"/>
  <c r="T83" i="10" s="1"/>
  <c r="U83" i="10" s="1"/>
  <c r="V83" i="10" s="1"/>
  <c r="W83" i="10" s="1"/>
  <c r="X83" i="10" s="1"/>
  <c r="Y83" i="10" s="1"/>
  <c r="Z83" i="10" s="1"/>
  <c r="AA83" i="10" s="1"/>
  <c r="AB83" i="10" s="1"/>
  <c r="D83" i="10"/>
  <c r="E83" i="10" s="1"/>
  <c r="C83" i="10"/>
  <c r="B83" i="10"/>
  <c r="AC82" i="10"/>
  <c r="C82" i="10" s="1"/>
  <c r="D82" i="10" s="1"/>
  <c r="Q82" i="10"/>
  <c r="R82" i="10" s="1"/>
  <c r="S82" i="10" s="1"/>
  <c r="T82" i="10" s="1"/>
  <c r="U82" i="10" s="1"/>
  <c r="V82" i="10" s="1"/>
  <c r="W82" i="10" s="1"/>
  <c r="X82" i="10" s="1"/>
  <c r="Y82" i="10" s="1"/>
  <c r="Z82" i="10" s="1"/>
  <c r="AA82" i="10" s="1"/>
  <c r="AB82" i="10" s="1"/>
  <c r="E82" i="10"/>
  <c r="F82" i="10" s="1"/>
  <c r="G82" i="10" s="1"/>
  <c r="H82" i="10" s="1"/>
  <c r="I82" i="10" s="1"/>
  <c r="J82" i="10" s="1"/>
  <c r="K82" i="10" s="1"/>
  <c r="L82" i="10" s="1"/>
  <c r="M82" i="10" s="1"/>
  <c r="N82" i="10" s="1"/>
  <c r="O82" i="10" s="1"/>
  <c r="P82" i="10" s="1"/>
  <c r="B82" i="10"/>
  <c r="AC81" i="10"/>
  <c r="B81" i="10"/>
  <c r="AC80" i="10"/>
  <c r="E80" i="10"/>
  <c r="F80" i="10" s="1"/>
  <c r="G80" i="10" s="1"/>
  <c r="H80" i="10" s="1"/>
  <c r="I80" i="10" s="1"/>
  <c r="J80" i="10" s="1"/>
  <c r="K80" i="10" s="1"/>
  <c r="L80" i="10" s="1"/>
  <c r="M80" i="10" s="1"/>
  <c r="N80" i="10" s="1"/>
  <c r="O80" i="10" s="1"/>
  <c r="P80" i="10" s="1"/>
  <c r="Q80" i="10" s="1"/>
  <c r="R80" i="10" s="1"/>
  <c r="S80" i="10" s="1"/>
  <c r="T80" i="10" s="1"/>
  <c r="U80" i="10" s="1"/>
  <c r="V80" i="10" s="1"/>
  <c r="W80" i="10" s="1"/>
  <c r="X80" i="10" s="1"/>
  <c r="Y80" i="10" s="1"/>
  <c r="Z80" i="10" s="1"/>
  <c r="AA80" i="10" s="1"/>
  <c r="AB80" i="10" s="1"/>
  <c r="C80" i="10"/>
  <c r="D80" i="10" s="1"/>
  <c r="B80" i="10"/>
  <c r="AC79" i="10"/>
  <c r="C79" i="10"/>
  <c r="D79" i="10" s="1"/>
  <c r="E79" i="10" s="1"/>
  <c r="F79" i="10" s="1"/>
  <c r="G79" i="10" s="1"/>
  <c r="H79" i="10" s="1"/>
  <c r="I79" i="10" s="1"/>
  <c r="J79" i="10" s="1"/>
  <c r="K79" i="10" s="1"/>
  <c r="L79" i="10" s="1"/>
  <c r="M79" i="10" s="1"/>
  <c r="N79" i="10" s="1"/>
  <c r="O79" i="10" s="1"/>
  <c r="P79" i="10" s="1"/>
  <c r="Q79" i="10" s="1"/>
  <c r="R79" i="10" s="1"/>
  <c r="S79" i="10" s="1"/>
  <c r="T79" i="10" s="1"/>
  <c r="U79" i="10" s="1"/>
  <c r="V79" i="10" s="1"/>
  <c r="W79" i="10" s="1"/>
  <c r="X79" i="10" s="1"/>
  <c r="Y79" i="10" s="1"/>
  <c r="Z79" i="10" s="1"/>
  <c r="AA79" i="10" s="1"/>
  <c r="AB79" i="10" s="1"/>
  <c r="B79" i="10"/>
  <c r="AC78" i="10"/>
  <c r="G78" i="10"/>
  <c r="H78" i="10" s="1"/>
  <c r="I78" i="10" s="1"/>
  <c r="J78" i="10" s="1"/>
  <c r="K78" i="10" s="1"/>
  <c r="L78" i="10" s="1"/>
  <c r="M78" i="10" s="1"/>
  <c r="N78" i="10" s="1"/>
  <c r="O78" i="10" s="1"/>
  <c r="P78" i="10" s="1"/>
  <c r="Q78" i="10" s="1"/>
  <c r="R78" i="10" s="1"/>
  <c r="S78" i="10" s="1"/>
  <c r="T78" i="10" s="1"/>
  <c r="U78" i="10" s="1"/>
  <c r="V78" i="10" s="1"/>
  <c r="W78" i="10" s="1"/>
  <c r="X78" i="10" s="1"/>
  <c r="Y78" i="10" s="1"/>
  <c r="Z78" i="10" s="1"/>
  <c r="AA78" i="10" s="1"/>
  <c r="AB78" i="10" s="1"/>
  <c r="D78" i="10"/>
  <c r="E78" i="10" s="1"/>
  <c r="F78" i="10" s="1"/>
  <c r="B78" i="10"/>
  <c r="C78" i="10" s="1"/>
  <c r="AC77" i="10"/>
  <c r="B77" i="10"/>
  <c r="C77" i="10" s="1"/>
  <c r="D77" i="10" s="1"/>
  <c r="E77" i="10" s="1"/>
  <c r="F77" i="10" s="1"/>
  <c r="G77" i="10" s="1"/>
  <c r="H77" i="10" s="1"/>
  <c r="I77" i="10" s="1"/>
  <c r="J77" i="10" s="1"/>
  <c r="K77" i="10" s="1"/>
  <c r="L77" i="10" s="1"/>
  <c r="M77" i="10" s="1"/>
  <c r="N77" i="10" s="1"/>
  <c r="O77" i="10" s="1"/>
  <c r="P77" i="10" s="1"/>
  <c r="Q77" i="10" s="1"/>
  <c r="R77" i="10" s="1"/>
  <c r="S77" i="10" s="1"/>
  <c r="T77" i="10" s="1"/>
  <c r="U77" i="10" s="1"/>
  <c r="V77" i="10" s="1"/>
  <c r="W77" i="10" s="1"/>
  <c r="X77" i="10" s="1"/>
  <c r="Y77" i="10" s="1"/>
  <c r="Z77" i="10" s="1"/>
  <c r="AA77" i="10" s="1"/>
  <c r="AB77" i="10" s="1"/>
  <c r="AC76" i="10"/>
  <c r="B76" i="10"/>
  <c r="AC75" i="10"/>
  <c r="B75" i="10"/>
  <c r="C75" i="10" s="1"/>
  <c r="D75" i="10" s="1"/>
  <c r="E75" i="10" s="1"/>
  <c r="F75" i="10" s="1"/>
  <c r="G75" i="10" s="1"/>
  <c r="H75" i="10" s="1"/>
  <c r="I75" i="10" s="1"/>
  <c r="J75" i="10" s="1"/>
  <c r="K75" i="10" s="1"/>
  <c r="L75" i="10" s="1"/>
  <c r="M75" i="10" s="1"/>
  <c r="N75" i="10" s="1"/>
  <c r="O75" i="10" s="1"/>
  <c r="P75" i="10" s="1"/>
  <c r="Q75" i="10" s="1"/>
  <c r="R75" i="10" s="1"/>
  <c r="S75" i="10" s="1"/>
  <c r="T75" i="10" s="1"/>
  <c r="U75" i="10" s="1"/>
  <c r="V75" i="10" s="1"/>
  <c r="W75" i="10" s="1"/>
  <c r="X75" i="10" s="1"/>
  <c r="Y75" i="10" s="1"/>
  <c r="Z75" i="10" s="1"/>
  <c r="AA75" i="10" s="1"/>
  <c r="AB75" i="10" s="1"/>
  <c r="AC74" i="10"/>
  <c r="B74" i="10"/>
  <c r="AC73" i="10"/>
  <c r="P73" i="10"/>
  <c r="Q73" i="10" s="1"/>
  <c r="R73" i="10" s="1"/>
  <c r="S73" i="10" s="1"/>
  <c r="T73" i="10" s="1"/>
  <c r="U73" i="10" s="1"/>
  <c r="V73" i="10" s="1"/>
  <c r="W73" i="10" s="1"/>
  <c r="X73" i="10" s="1"/>
  <c r="Y73" i="10" s="1"/>
  <c r="Z73" i="10" s="1"/>
  <c r="AA73" i="10" s="1"/>
  <c r="AB73" i="10" s="1"/>
  <c r="B73" i="10"/>
  <c r="C73" i="10" s="1"/>
  <c r="D73" i="10" s="1"/>
  <c r="E73" i="10" s="1"/>
  <c r="F73" i="10" s="1"/>
  <c r="G73" i="10" s="1"/>
  <c r="H73" i="10" s="1"/>
  <c r="I73" i="10" s="1"/>
  <c r="J73" i="10" s="1"/>
  <c r="K73" i="10" s="1"/>
  <c r="L73" i="10" s="1"/>
  <c r="M73" i="10" s="1"/>
  <c r="N73" i="10" s="1"/>
  <c r="O73" i="10" s="1"/>
  <c r="AC72" i="10"/>
  <c r="D72" i="10"/>
  <c r="E72" i="10" s="1"/>
  <c r="F72" i="10" s="1"/>
  <c r="G72" i="10" s="1"/>
  <c r="H72" i="10" s="1"/>
  <c r="I72" i="10" s="1"/>
  <c r="J72" i="10" s="1"/>
  <c r="K72" i="10" s="1"/>
  <c r="L72" i="10" s="1"/>
  <c r="M72" i="10" s="1"/>
  <c r="N72" i="10" s="1"/>
  <c r="O72" i="10" s="1"/>
  <c r="P72" i="10" s="1"/>
  <c r="Q72" i="10" s="1"/>
  <c r="R72" i="10" s="1"/>
  <c r="S72" i="10" s="1"/>
  <c r="T72" i="10" s="1"/>
  <c r="U72" i="10" s="1"/>
  <c r="V72" i="10" s="1"/>
  <c r="W72" i="10" s="1"/>
  <c r="X72" i="10" s="1"/>
  <c r="Y72" i="10" s="1"/>
  <c r="Z72" i="10" s="1"/>
  <c r="AA72" i="10" s="1"/>
  <c r="AB72" i="10" s="1"/>
  <c r="C72" i="10"/>
  <c r="B72" i="10"/>
  <c r="AC71" i="10"/>
  <c r="K71" i="10"/>
  <c r="L71" i="10" s="1"/>
  <c r="M71" i="10" s="1"/>
  <c r="N71" i="10" s="1"/>
  <c r="O71" i="10" s="1"/>
  <c r="P71" i="10" s="1"/>
  <c r="Q71" i="10" s="1"/>
  <c r="R71" i="10" s="1"/>
  <c r="S71" i="10" s="1"/>
  <c r="T71" i="10" s="1"/>
  <c r="U71" i="10" s="1"/>
  <c r="V71" i="10" s="1"/>
  <c r="W71" i="10" s="1"/>
  <c r="X71" i="10" s="1"/>
  <c r="Y71" i="10" s="1"/>
  <c r="Z71" i="10" s="1"/>
  <c r="AA71" i="10" s="1"/>
  <c r="AB71" i="10" s="1"/>
  <c r="D71" i="10"/>
  <c r="E71" i="10" s="1"/>
  <c r="F71" i="10" s="1"/>
  <c r="G71" i="10" s="1"/>
  <c r="H71" i="10" s="1"/>
  <c r="I71" i="10" s="1"/>
  <c r="J71" i="10" s="1"/>
  <c r="C71" i="10"/>
  <c r="B71" i="10"/>
  <c r="AC70" i="10"/>
  <c r="C70" i="10"/>
  <c r="D70" i="10" s="1"/>
  <c r="E70" i="10" s="1"/>
  <c r="F70" i="10" s="1"/>
  <c r="G70" i="10" s="1"/>
  <c r="H70" i="10" s="1"/>
  <c r="I70" i="10" s="1"/>
  <c r="J70" i="10" s="1"/>
  <c r="K70" i="10" s="1"/>
  <c r="L70" i="10" s="1"/>
  <c r="M70" i="10" s="1"/>
  <c r="N70" i="10" s="1"/>
  <c r="O70" i="10" s="1"/>
  <c r="P70" i="10" s="1"/>
  <c r="Q70" i="10" s="1"/>
  <c r="R70" i="10" s="1"/>
  <c r="S70" i="10" s="1"/>
  <c r="T70" i="10" s="1"/>
  <c r="U70" i="10" s="1"/>
  <c r="V70" i="10" s="1"/>
  <c r="W70" i="10" s="1"/>
  <c r="X70" i="10" s="1"/>
  <c r="Y70" i="10" s="1"/>
  <c r="Z70" i="10" s="1"/>
  <c r="AA70" i="10" s="1"/>
  <c r="AB70" i="10" s="1"/>
  <c r="B70" i="10"/>
  <c r="AC69" i="10"/>
  <c r="B69" i="10"/>
  <c r="C69" i="10" s="1"/>
  <c r="D69" i="10" s="1"/>
  <c r="E69" i="10" s="1"/>
  <c r="F69" i="10" s="1"/>
  <c r="G69" i="10" s="1"/>
  <c r="H69" i="10" s="1"/>
  <c r="I69" i="10" s="1"/>
  <c r="J69" i="10" s="1"/>
  <c r="K69" i="10" s="1"/>
  <c r="L69" i="10" s="1"/>
  <c r="M69" i="10" s="1"/>
  <c r="N69" i="10" s="1"/>
  <c r="O69" i="10" s="1"/>
  <c r="P69" i="10" s="1"/>
  <c r="Q69" i="10" s="1"/>
  <c r="R69" i="10" s="1"/>
  <c r="S69" i="10" s="1"/>
  <c r="T69" i="10" s="1"/>
  <c r="U69" i="10" s="1"/>
  <c r="V69" i="10" s="1"/>
  <c r="W69" i="10" s="1"/>
  <c r="X69" i="10" s="1"/>
  <c r="Y69" i="10" s="1"/>
  <c r="Z69" i="10" s="1"/>
  <c r="AA69" i="10" s="1"/>
  <c r="AB69" i="10" s="1"/>
  <c r="AC68" i="10"/>
  <c r="B68" i="10"/>
  <c r="AC67" i="10"/>
  <c r="B67" i="10"/>
  <c r="AC66" i="10"/>
  <c r="H66" i="10"/>
  <c r="I66" i="10" s="1"/>
  <c r="J66" i="10" s="1"/>
  <c r="K66" i="10" s="1"/>
  <c r="L66" i="10" s="1"/>
  <c r="M66" i="10" s="1"/>
  <c r="N66" i="10" s="1"/>
  <c r="O66" i="10" s="1"/>
  <c r="P66" i="10" s="1"/>
  <c r="Q66" i="10" s="1"/>
  <c r="R66" i="10" s="1"/>
  <c r="S66" i="10" s="1"/>
  <c r="T66" i="10" s="1"/>
  <c r="U66" i="10" s="1"/>
  <c r="V66" i="10" s="1"/>
  <c r="W66" i="10" s="1"/>
  <c r="X66" i="10" s="1"/>
  <c r="Y66" i="10" s="1"/>
  <c r="Z66" i="10" s="1"/>
  <c r="AA66" i="10" s="1"/>
  <c r="AB66" i="10" s="1"/>
  <c r="D66" i="10"/>
  <c r="E66" i="10" s="1"/>
  <c r="F66" i="10" s="1"/>
  <c r="G66" i="10" s="1"/>
  <c r="B66" i="10"/>
  <c r="C66" i="10" s="1"/>
  <c r="AC65" i="10"/>
  <c r="B65" i="10"/>
  <c r="AC64" i="10"/>
  <c r="C64" i="10" s="1"/>
  <c r="D64" i="10" s="1"/>
  <c r="E64" i="10" s="1"/>
  <c r="F64" i="10" s="1"/>
  <c r="G64" i="10" s="1"/>
  <c r="H64" i="10" s="1"/>
  <c r="I64" i="10" s="1"/>
  <c r="J64" i="10" s="1"/>
  <c r="K64" i="10" s="1"/>
  <c r="L64" i="10" s="1"/>
  <c r="M64" i="10" s="1"/>
  <c r="N64" i="10" s="1"/>
  <c r="O64" i="10" s="1"/>
  <c r="P64" i="10" s="1"/>
  <c r="Q64" i="10" s="1"/>
  <c r="R64" i="10" s="1"/>
  <c r="S64" i="10" s="1"/>
  <c r="T64" i="10" s="1"/>
  <c r="U64" i="10" s="1"/>
  <c r="V64" i="10" s="1"/>
  <c r="W64" i="10" s="1"/>
  <c r="X64" i="10" s="1"/>
  <c r="Y64" i="10" s="1"/>
  <c r="Z64" i="10" s="1"/>
  <c r="AA64" i="10" s="1"/>
  <c r="AB64" i="10" s="1"/>
  <c r="B64" i="10"/>
  <c r="AC63" i="10"/>
  <c r="D63" i="10"/>
  <c r="E63" i="10" s="1"/>
  <c r="F63" i="10" s="1"/>
  <c r="G63" i="10" s="1"/>
  <c r="H63" i="10" s="1"/>
  <c r="I63" i="10" s="1"/>
  <c r="J63" i="10" s="1"/>
  <c r="K63" i="10" s="1"/>
  <c r="L63" i="10" s="1"/>
  <c r="M63" i="10" s="1"/>
  <c r="N63" i="10" s="1"/>
  <c r="O63" i="10" s="1"/>
  <c r="P63" i="10" s="1"/>
  <c r="Q63" i="10" s="1"/>
  <c r="R63" i="10" s="1"/>
  <c r="S63" i="10" s="1"/>
  <c r="T63" i="10" s="1"/>
  <c r="U63" i="10" s="1"/>
  <c r="V63" i="10" s="1"/>
  <c r="W63" i="10" s="1"/>
  <c r="X63" i="10" s="1"/>
  <c r="Y63" i="10" s="1"/>
  <c r="Z63" i="10" s="1"/>
  <c r="AA63" i="10" s="1"/>
  <c r="AB63" i="10" s="1"/>
  <c r="B63" i="10"/>
  <c r="C63" i="10" s="1"/>
  <c r="AC62" i="10"/>
  <c r="B62" i="10"/>
  <c r="AC61" i="10"/>
  <c r="B61" i="10"/>
  <c r="C61" i="10" s="1"/>
  <c r="D61" i="10" s="1"/>
  <c r="AC56" i="10"/>
  <c r="B56" i="10"/>
  <c r="C56" i="10" s="1"/>
  <c r="D56" i="10" s="1"/>
  <c r="E56" i="10" s="1"/>
  <c r="F56" i="10" s="1"/>
  <c r="G56" i="10" s="1"/>
  <c r="H56" i="10" s="1"/>
  <c r="I56" i="10" s="1"/>
  <c r="J56" i="10" s="1"/>
  <c r="K56" i="10" s="1"/>
  <c r="L56" i="10" s="1"/>
  <c r="M56" i="10" s="1"/>
  <c r="N56" i="10" s="1"/>
  <c r="O56" i="10" s="1"/>
  <c r="P56" i="10" s="1"/>
  <c r="Q56" i="10" s="1"/>
  <c r="R56" i="10" s="1"/>
  <c r="S56" i="10" s="1"/>
  <c r="T56" i="10" s="1"/>
  <c r="U56" i="10" s="1"/>
  <c r="V56" i="10" s="1"/>
  <c r="W56" i="10" s="1"/>
  <c r="X56" i="10" s="1"/>
  <c r="Y56" i="10" s="1"/>
  <c r="Z56" i="10" s="1"/>
  <c r="AA56" i="10" s="1"/>
  <c r="AB56" i="10" s="1"/>
  <c r="AC55" i="10"/>
  <c r="B55" i="10"/>
  <c r="C55" i="10" s="1"/>
  <c r="D55" i="10" s="1"/>
  <c r="E55" i="10" s="1"/>
  <c r="F55" i="10" s="1"/>
  <c r="G55" i="10" s="1"/>
  <c r="H55" i="10" s="1"/>
  <c r="I55" i="10" s="1"/>
  <c r="J55" i="10" s="1"/>
  <c r="K55" i="10" s="1"/>
  <c r="L55" i="10" s="1"/>
  <c r="M55" i="10" s="1"/>
  <c r="N55" i="10" s="1"/>
  <c r="O55" i="10" s="1"/>
  <c r="P55" i="10" s="1"/>
  <c r="Q55" i="10" s="1"/>
  <c r="R55" i="10" s="1"/>
  <c r="S55" i="10" s="1"/>
  <c r="T55" i="10" s="1"/>
  <c r="U55" i="10" s="1"/>
  <c r="V55" i="10" s="1"/>
  <c r="W55" i="10" s="1"/>
  <c r="X55" i="10" s="1"/>
  <c r="Y55" i="10" s="1"/>
  <c r="Z55" i="10" s="1"/>
  <c r="AA55" i="10" s="1"/>
  <c r="AB55" i="10" s="1"/>
  <c r="F54" i="10"/>
  <c r="G54" i="10" s="1"/>
  <c r="H54" i="10" s="1"/>
  <c r="I54" i="10" s="1"/>
  <c r="J54" i="10" s="1"/>
  <c r="K54" i="10" s="1"/>
  <c r="L54" i="10" s="1"/>
  <c r="M54" i="10" s="1"/>
  <c r="N54" i="10" s="1"/>
  <c r="O54" i="10" s="1"/>
  <c r="P54" i="10" s="1"/>
  <c r="Q54" i="10" s="1"/>
  <c r="R54" i="10" s="1"/>
  <c r="S54" i="10" s="1"/>
  <c r="T54" i="10" s="1"/>
  <c r="U54" i="10" s="1"/>
  <c r="V54" i="10" s="1"/>
  <c r="W54" i="10" s="1"/>
  <c r="X54" i="10" s="1"/>
  <c r="Y54" i="10" s="1"/>
  <c r="Z54" i="10" s="1"/>
  <c r="AA54" i="10" s="1"/>
  <c r="AB54" i="10" s="1"/>
  <c r="D54" i="10"/>
  <c r="E54" i="10" s="1"/>
  <c r="C54" i="10"/>
  <c r="AC53" i="10"/>
  <c r="C53" i="10" s="1"/>
  <c r="D53" i="10" s="1"/>
  <c r="E53" i="10"/>
  <c r="F53" i="10" s="1"/>
  <c r="G53" i="10" s="1"/>
  <c r="H53" i="10" s="1"/>
  <c r="I53" i="10" s="1"/>
  <c r="J53" i="10" s="1"/>
  <c r="K53" i="10" s="1"/>
  <c r="L53" i="10" s="1"/>
  <c r="M53" i="10" s="1"/>
  <c r="N53" i="10" s="1"/>
  <c r="O53" i="10" s="1"/>
  <c r="P53" i="10" s="1"/>
  <c r="Q53" i="10" s="1"/>
  <c r="R53" i="10" s="1"/>
  <c r="S53" i="10" s="1"/>
  <c r="T53" i="10" s="1"/>
  <c r="U53" i="10" s="1"/>
  <c r="V53" i="10" s="1"/>
  <c r="W53" i="10" s="1"/>
  <c r="X53" i="10" s="1"/>
  <c r="Y53" i="10" s="1"/>
  <c r="Z53" i="10" s="1"/>
  <c r="AA53" i="10" s="1"/>
  <c r="AB53" i="10" s="1"/>
  <c r="B53" i="10"/>
  <c r="AC52" i="10"/>
  <c r="B52" i="10"/>
  <c r="AC51" i="10"/>
  <c r="D51" i="10"/>
  <c r="E51" i="10" s="1"/>
  <c r="F51" i="10" s="1"/>
  <c r="G51" i="10" s="1"/>
  <c r="H51" i="10" s="1"/>
  <c r="I51" i="10" s="1"/>
  <c r="J51" i="10" s="1"/>
  <c r="K51" i="10" s="1"/>
  <c r="L51" i="10" s="1"/>
  <c r="M51" i="10" s="1"/>
  <c r="N51" i="10" s="1"/>
  <c r="O51" i="10" s="1"/>
  <c r="P51" i="10" s="1"/>
  <c r="Q51" i="10" s="1"/>
  <c r="R51" i="10" s="1"/>
  <c r="S51" i="10" s="1"/>
  <c r="T51" i="10" s="1"/>
  <c r="U51" i="10" s="1"/>
  <c r="V51" i="10" s="1"/>
  <c r="W51" i="10" s="1"/>
  <c r="X51" i="10" s="1"/>
  <c r="Y51" i="10" s="1"/>
  <c r="Z51" i="10" s="1"/>
  <c r="AA51" i="10" s="1"/>
  <c r="AB51" i="10" s="1"/>
  <c r="C51" i="10"/>
  <c r="B51" i="10"/>
  <c r="AC50" i="10"/>
  <c r="C50" i="10"/>
  <c r="D50" i="10" s="1"/>
  <c r="E50" i="10" s="1"/>
  <c r="F50" i="10" s="1"/>
  <c r="G50" i="10" s="1"/>
  <c r="H50" i="10" s="1"/>
  <c r="I50" i="10" s="1"/>
  <c r="J50" i="10" s="1"/>
  <c r="K50" i="10" s="1"/>
  <c r="L50" i="10" s="1"/>
  <c r="M50" i="10" s="1"/>
  <c r="N50" i="10" s="1"/>
  <c r="O50" i="10" s="1"/>
  <c r="P50" i="10" s="1"/>
  <c r="Q50" i="10" s="1"/>
  <c r="R50" i="10" s="1"/>
  <c r="S50" i="10" s="1"/>
  <c r="T50" i="10" s="1"/>
  <c r="U50" i="10" s="1"/>
  <c r="V50" i="10" s="1"/>
  <c r="W50" i="10" s="1"/>
  <c r="X50" i="10" s="1"/>
  <c r="Y50" i="10" s="1"/>
  <c r="Z50" i="10" s="1"/>
  <c r="AA50" i="10" s="1"/>
  <c r="AB50" i="10" s="1"/>
  <c r="B50" i="10"/>
  <c r="AC49" i="10"/>
  <c r="B49" i="10"/>
  <c r="AC48" i="10"/>
  <c r="C48" i="10"/>
  <c r="D48" i="10" s="1"/>
  <c r="E48" i="10" s="1"/>
  <c r="F48" i="10" s="1"/>
  <c r="G48" i="10" s="1"/>
  <c r="H48" i="10" s="1"/>
  <c r="I48" i="10" s="1"/>
  <c r="J48" i="10" s="1"/>
  <c r="K48" i="10" s="1"/>
  <c r="L48" i="10" s="1"/>
  <c r="M48" i="10" s="1"/>
  <c r="N48" i="10" s="1"/>
  <c r="O48" i="10" s="1"/>
  <c r="P48" i="10" s="1"/>
  <c r="Q48" i="10" s="1"/>
  <c r="R48" i="10" s="1"/>
  <c r="S48" i="10" s="1"/>
  <c r="T48" i="10" s="1"/>
  <c r="U48" i="10" s="1"/>
  <c r="V48" i="10" s="1"/>
  <c r="W48" i="10" s="1"/>
  <c r="X48" i="10" s="1"/>
  <c r="Y48" i="10" s="1"/>
  <c r="Z48" i="10" s="1"/>
  <c r="AA48" i="10" s="1"/>
  <c r="AB48" i="10" s="1"/>
  <c r="B48" i="10"/>
  <c r="AC47" i="10"/>
  <c r="C47" i="10"/>
  <c r="D47" i="10" s="1"/>
  <c r="E47" i="10" s="1"/>
  <c r="F47" i="10" s="1"/>
  <c r="G47" i="10" s="1"/>
  <c r="H47" i="10" s="1"/>
  <c r="I47" i="10" s="1"/>
  <c r="J47" i="10" s="1"/>
  <c r="K47" i="10" s="1"/>
  <c r="L47" i="10" s="1"/>
  <c r="M47" i="10" s="1"/>
  <c r="N47" i="10" s="1"/>
  <c r="O47" i="10" s="1"/>
  <c r="P47" i="10" s="1"/>
  <c r="Q47" i="10" s="1"/>
  <c r="R47" i="10" s="1"/>
  <c r="S47" i="10" s="1"/>
  <c r="T47" i="10" s="1"/>
  <c r="U47" i="10" s="1"/>
  <c r="V47" i="10" s="1"/>
  <c r="W47" i="10" s="1"/>
  <c r="X47" i="10" s="1"/>
  <c r="Y47" i="10" s="1"/>
  <c r="Z47" i="10" s="1"/>
  <c r="AA47" i="10" s="1"/>
  <c r="AB47" i="10" s="1"/>
  <c r="B47" i="10"/>
  <c r="AC46" i="10"/>
  <c r="C46" i="10"/>
  <c r="D46" i="10" s="1"/>
  <c r="E46" i="10" s="1"/>
  <c r="F46" i="10" s="1"/>
  <c r="G46" i="10" s="1"/>
  <c r="H46" i="10" s="1"/>
  <c r="I46" i="10" s="1"/>
  <c r="J46" i="10" s="1"/>
  <c r="K46" i="10" s="1"/>
  <c r="L46" i="10" s="1"/>
  <c r="M46" i="10" s="1"/>
  <c r="N46" i="10" s="1"/>
  <c r="O46" i="10" s="1"/>
  <c r="P46" i="10" s="1"/>
  <c r="Q46" i="10" s="1"/>
  <c r="R46" i="10" s="1"/>
  <c r="S46" i="10" s="1"/>
  <c r="T46" i="10" s="1"/>
  <c r="U46" i="10" s="1"/>
  <c r="V46" i="10" s="1"/>
  <c r="W46" i="10" s="1"/>
  <c r="X46" i="10" s="1"/>
  <c r="Y46" i="10" s="1"/>
  <c r="Z46" i="10" s="1"/>
  <c r="AA46" i="10" s="1"/>
  <c r="AB46" i="10" s="1"/>
  <c r="B46" i="10"/>
  <c r="AC45" i="10"/>
  <c r="B45" i="10"/>
  <c r="AC44" i="10"/>
  <c r="B44" i="10"/>
  <c r="C44" i="10" s="1"/>
  <c r="D44" i="10" s="1"/>
  <c r="E44" i="10" s="1"/>
  <c r="F44" i="10" s="1"/>
  <c r="G44" i="10" s="1"/>
  <c r="H44" i="10" s="1"/>
  <c r="I44" i="10" s="1"/>
  <c r="J44" i="10" s="1"/>
  <c r="K44" i="10" s="1"/>
  <c r="L44" i="10" s="1"/>
  <c r="M44" i="10" s="1"/>
  <c r="N44" i="10" s="1"/>
  <c r="O44" i="10" s="1"/>
  <c r="P44" i="10" s="1"/>
  <c r="Q44" i="10" s="1"/>
  <c r="R44" i="10" s="1"/>
  <c r="S44" i="10" s="1"/>
  <c r="T44" i="10" s="1"/>
  <c r="U44" i="10" s="1"/>
  <c r="V44" i="10" s="1"/>
  <c r="W44" i="10" s="1"/>
  <c r="X44" i="10" s="1"/>
  <c r="Y44" i="10" s="1"/>
  <c r="Z44" i="10" s="1"/>
  <c r="AA44" i="10" s="1"/>
  <c r="AB44" i="10" s="1"/>
  <c r="AC43" i="10"/>
  <c r="C43" i="10" s="1"/>
  <c r="D43" i="10" s="1"/>
  <c r="E43" i="10"/>
  <c r="F43" i="10" s="1"/>
  <c r="G43" i="10" s="1"/>
  <c r="H43" i="10" s="1"/>
  <c r="I43" i="10" s="1"/>
  <c r="J43" i="10" s="1"/>
  <c r="K43" i="10" s="1"/>
  <c r="L43" i="10" s="1"/>
  <c r="M43" i="10" s="1"/>
  <c r="N43" i="10" s="1"/>
  <c r="O43" i="10" s="1"/>
  <c r="P43" i="10" s="1"/>
  <c r="Q43" i="10" s="1"/>
  <c r="R43" i="10" s="1"/>
  <c r="S43" i="10" s="1"/>
  <c r="T43" i="10" s="1"/>
  <c r="U43" i="10" s="1"/>
  <c r="V43" i="10" s="1"/>
  <c r="W43" i="10" s="1"/>
  <c r="X43" i="10" s="1"/>
  <c r="Y43" i="10" s="1"/>
  <c r="Z43" i="10" s="1"/>
  <c r="AA43" i="10" s="1"/>
  <c r="AB43" i="10" s="1"/>
  <c r="B43" i="10"/>
  <c r="AC42" i="10"/>
  <c r="G42" i="10"/>
  <c r="H42" i="10" s="1"/>
  <c r="I42" i="10" s="1"/>
  <c r="J42" i="10" s="1"/>
  <c r="K42" i="10" s="1"/>
  <c r="L42" i="10" s="1"/>
  <c r="M42" i="10" s="1"/>
  <c r="N42" i="10" s="1"/>
  <c r="O42" i="10" s="1"/>
  <c r="P42" i="10" s="1"/>
  <c r="Q42" i="10" s="1"/>
  <c r="R42" i="10" s="1"/>
  <c r="S42" i="10" s="1"/>
  <c r="T42" i="10" s="1"/>
  <c r="U42" i="10" s="1"/>
  <c r="V42" i="10" s="1"/>
  <c r="W42" i="10" s="1"/>
  <c r="X42" i="10" s="1"/>
  <c r="Y42" i="10" s="1"/>
  <c r="Z42" i="10" s="1"/>
  <c r="AA42" i="10" s="1"/>
  <c r="AB42" i="10" s="1"/>
  <c r="D42" i="10"/>
  <c r="E42" i="10" s="1"/>
  <c r="F42" i="10" s="1"/>
  <c r="C42" i="10"/>
  <c r="B42" i="10"/>
  <c r="AC41" i="10"/>
  <c r="C41" i="10"/>
  <c r="D41" i="10" s="1"/>
  <c r="E41" i="10" s="1"/>
  <c r="F41" i="10" s="1"/>
  <c r="G41" i="10" s="1"/>
  <c r="H41" i="10" s="1"/>
  <c r="I41" i="10" s="1"/>
  <c r="J41" i="10" s="1"/>
  <c r="K41" i="10" s="1"/>
  <c r="L41" i="10" s="1"/>
  <c r="M41" i="10" s="1"/>
  <c r="N41" i="10" s="1"/>
  <c r="O41" i="10" s="1"/>
  <c r="P41" i="10" s="1"/>
  <c r="Q41" i="10" s="1"/>
  <c r="R41" i="10" s="1"/>
  <c r="S41" i="10" s="1"/>
  <c r="T41" i="10" s="1"/>
  <c r="U41" i="10" s="1"/>
  <c r="V41" i="10" s="1"/>
  <c r="W41" i="10" s="1"/>
  <c r="X41" i="10" s="1"/>
  <c r="Y41" i="10" s="1"/>
  <c r="Z41" i="10" s="1"/>
  <c r="AA41" i="10" s="1"/>
  <c r="AB41" i="10" s="1"/>
  <c r="B41" i="10"/>
  <c r="AC40" i="10"/>
  <c r="E40" i="10"/>
  <c r="F40" i="10" s="1"/>
  <c r="G40" i="10" s="1"/>
  <c r="H40" i="10" s="1"/>
  <c r="I40" i="10" s="1"/>
  <c r="J40" i="10" s="1"/>
  <c r="K40" i="10" s="1"/>
  <c r="L40" i="10" s="1"/>
  <c r="M40" i="10" s="1"/>
  <c r="N40" i="10" s="1"/>
  <c r="O40" i="10" s="1"/>
  <c r="P40" i="10" s="1"/>
  <c r="Q40" i="10" s="1"/>
  <c r="R40" i="10" s="1"/>
  <c r="S40" i="10" s="1"/>
  <c r="T40" i="10" s="1"/>
  <c r="U40" i="10" s="1"/>
  <c r="V40" i="10" s="1"/>
  <c r="W40" i="10" s="1"/>
  <c r="X40" i="10" s="1"/>
  <c r="Y40" i="10" s="1"/>
  <c r="Z40" i="10" s="1"/>
  <c r="AA40" i="10" s="1"/>
  <c r="AB40" i="10" s="1"/>
  <c r="B40" i="10"/>
  <c r="C40" i="10" s="1"/>
  <c r="D40" i="10" s="1"/>
  <c r="AC39" i="10"/>
  <c r="E39" i="10"/>
  <c r="F39" i="10" s="1"/>
  <c r="G39" i="10" s="1"/>
  <c r="H39" i="10" s="1"/>
  <c r="I39" i="10" s="1"/>
  <c r="J39" i="10" s="1"/>
  <c r="K39" i="10" s="1"/>
  <c r="L39" i="10" s="1"/>
  <c r="M39" i="10" s="1"/>
  <c r="N39" i="10" s="1"/>
  <c r="O39" i="10" s="1"/>
  <c r="P39" i="10" s="1"/>
  <c r="Q39" i="10" s="1"/>
  <c r="R39" i="10" s="1"/>
  <c r="S39" i="10" s="1"/>
  <c r="T39" i="10" s="1"/>
  <c r="U39" i="10" s="1"/>
  <c r="V39" i="10" s="1"/>
  <c r="W39" i="10" s="1"/>
  <c r="X39" i="10" s="1"/>
  <c r="Y39" i="10" s="1"/>
  <c r="Z39" i="10" s="1"/>
  <c r="AA39" i="10" s="1"/>
  <c r="AB39" i="10" s="1"/>
  <c r="D39" i="10"/>
  <c r="C39" i="10"/>
  <c r="B39" i="10"/>
  <c r="AC38" i="10"/>
  <c r="B38" i="10"/>
  <c r="C38" i="10" s="1"/>
  <c r="D38" i="10" s="1"/>
  <c r="E38" i="10" s="1"/>
  <c r="F38" i="10" s="1"/>
  <c r="G38" i="10" s="1"/>
  <c r="H38" i="10" s="1"/>
  <c r="I38" i="10" s="1"/>
  <c r="J38" i="10" s="1"/>
  <c r="K38" i="10" s="1"/>
  <c r="L38" i="10" s="1"/>
  <c r="M38" i="10" s="1"/>
  <c r="N38" i="10" s="1"/>
  <c r="O38" i="10" s="1"/>
  <c r="P38" i="10" s="1"/>
  <c r="Q38" i="10" s="1"/>
  <c r="R38" i="10" s="1"/>
  <c r="S38" i="10" s="1"/>
  <c r="T38" i="10" s="1"/>
  <c r="U38" i="10" s="1"/>
  <c r="V38" i="10" s="1"/>
  <c r="W38" i="10" s="1"/>
  <c r="X38" i="10" s="1"/>
  <c r="Y38" i="10" s="1"/>
  <c r="Z38" i="10" s="1"/>
  <c r="AA38" i="10" s="1"/>
  <c r="AB38" i="10" s="1"/>
  <c r="AC37" i="10"/>
  <c r="C37" i="10"/>
  <c r="D37" i="10" s="1"/>
  <c r="E37" i="10" s="1"/>
  <c r="F37" i="10" s="1"/>
  <c r="G37" i="10" s="1"/>
  <c r="H37" i="10" s="1"/>
  <c r="I37" i="10" s="1"/>
  <c r="J37" i="10" s="1"/>
  <c r="K37" i="10" s="1"/>
  <c r="L37" i="10" s="1"/>
  <c r="M37" i="10" s="1"/>
  <c r="N37" i="10" s="1"/>
  <c r="O37" i="10" s="1"/>
  <c r="P37" i="10" s="1"/>
  <c r="Q37" i="10" s="1"/>
  <c r="R37" i="10" s="1"/>
  <c r="S37" i="10" s="1"/>
  <c r="T37" i="10" s="1"/>
  <c r="U37" i="10" s="1"/>
  <c r="V37" i="10" s="1"/>
  <c r="W37" i="10" s="1"/>
  <c r="X37" i="10" s="1"/>
  <c r="Y37" i="10" s="1"/>
  <c r="Z37" i="10" s="1"/>
  <c r="AA37" i="10" s="1"/>
  <c r="AB37" i="10" s="1"/>
  <c r="B37" i="10"/>
  <c r="AC36" i="10"/>
  <c r="C36" i="10" s="1"/>
  <c r="D36" i="10" s="1"/>
  <c r="E36" i="10" s="1"/>
  <c r="F36" i="10" s="1"/>
  <c r="G36" i="10" s="1"/>
  <c r="H36" i="10" s="1"/>
  <c r="I36" i="10" s="1"/>
  <c r="J36" i="10" s="1"/>
  <c r="K36" i="10" s="1"/>
  <c r="L36" i="10" s="1"/>
  <c r="M36" i="10" s="1"/>
  <c r="N36" i="10" s="1"/>
  <c r="O36" i="10" s="1"/>
  <c r="P36" i="10" s="1"/>
  <c r="Q36" i="10" s="1"/>
  <c r="R36" i="10" s="1"/>
  <c r="S36" i="10" s="1"/>
  <c r="T36" i="10" s="1"/>
  <c r="U36" i="10" s="1"/>
  <c r="V36" i="10" s="1"/>
  <c r="W36" i="10" s="1"/>
  <c r="X36" i="10" s="1"/>
  <c r="Y36" i="10" s="1"/>
  <c r="Z36" i="10" s="1"/>
  <c r="AA36" i="10" s="1"/>
  <c r="AB36" i="10" s="1"/>
  <c r="B36" i="10"/>
  <c r="AC35" i="10"/>
  <c r="C35" i="10" s="1"/>
  <c r="D35" i="10" s="1"/>
  <c r="E35" i="10"/>
  <c r="F35" i="10" s="1"/>
  <c r="G35" i="10" s="1"/>
  <c r="H35" i="10" s="1"/>
  <c r="I35" i="10" s="1"/>
  <c r="J35" i="10" s="1"/>
  <c r="K35" i="10" s="1"/>
  <c r="L35" i="10" s="1"/>
  <c r="M35" i="10" s="1"/>
  <c r="N35" i="10" s="1"/>
  <c r="O35" i="10" s="1"/>
  <c r="P35" i="10" s="1"/>
  <c r="Q35" i="10" s="1"/>
  <c r="R35" i="10" s="1"/>
  <c r="S35" i="10" s="1"/>
  <c r="T35" i="10" s="1"/>
  <c r="U35" i="10" s="1"/>
  <c r="V35" i="10" s="1"/>
  <c r="W35" i="10" s="1"/>
  <c r="X35" i="10" s="1"/>
  <c r="Y35" i="10" s="1"/>
  <c r="Z35" i="10" s="1"/>
  <c r="AA35" i="10" s="1"/>
  <c r="AB35" i="10" s="1"/>
  <c r="B35" i="10"/>
  <c r="AC34" i="10"/>
  <c r="B34" i="10"/>
  <c r="AC33" i="10"/>
  <c r="C33" i="10"/>
  <c r="D33" i="10" s="1"/>
  <c r="E33" i="10" s="1"/>
  <c r="F33" i="10" s="1"/>
  <c r="G33" i="10" s="1"/>
  <c r="H33" i="10" s="1"/>
  <c r="I33" i="10" s="1"/>
  <c r="J33" i="10" s="1"/>
  <c r="K33" i="10" s="1"/>
  <c r="L33" i="10" s="1"/>
  <c r="M33" i="10" s="1"/>
  <c r="N33" i="10" s="1"/>
  <c r="O33" i="10" s="1"/>
  <c r="P33" i="10" s="1"/>
  <c r="Q33" i="10" s="1"/>
  <c r="R33" i="10" s="1"/>
  <c r="S33" i="10" s="1"/>
  <c r="T33" i="10" s="1"/>
  <c r="U33" i="10" s="1"/>
  <c r="V33" i="10" s="1"/>
  <c r="W33" i="10" s="1"/>
  <c r="X33" i="10" s="1"/>
  <c r="Y33" i="10" s="1"/>
  <c r="Z33" i="10" s="1"/>
  <c r="AA33" i="10" s="1"/>
  <c r="AB33" i="10" s="1"/>
  <c r="B33" i="10"/>
  <c r="AC32" i="10"/>
  <c r="D32" i="10"/>
  <c r="E32" i="10" s="1"/>
  <c r="F32" i="10" s="1"/>
  <c r="G32" i="10" s="1"/>
  <c r="H32" i="10" s="1"/>
  <c r="I32" i="10" s="1"/>
  <c r="J32" i="10" s="1"/>
  <c r="K32" i="10" s="1"/>
  <c r="L32" i="10" s="1"/>
  <c r="M32" i="10" s="1"/>
  <c r="N32" i="10" s="1"/>
  <c r="O32" i="10" s="1"/>
  <c r="P32" i="10" s="1"/>
  <c r="Q32" i="10" s="1"/>
  <c r="R32" i="10" s="1"/>
  <c r="S32" i="10" s="1"/>
  <c r="T32" i="10" s="1"/>
  <c r="U32" i="10" s="1"/>
  <c r="V32" i="10" s="1"/>
  <c r="W32" i="10" s="1"/>
  <c r="X32" i="10" s="1"/>
  <c r="Y32" i="10" s="1"/>
  <c r="Z32" i="10" s="1"/>
  <c r="AA32" i="10" s="1"/>
  <c r="AB32" i="10" s="1"/>
  <c r="C32" i="10"/>
  <c r="B32" i="10"/>
  <c r="AC31" i="10"/>
  <c r="C31" i="10"/>
  <c r="D31" i="10" s="1"/>
  <c r="E31" i="10" s="1"/>
  <c r="F31" i="10" s="1"/>
  <c r="G31" i="10" s="1"/>
  <c r="H31" i="10" s="1"/>
  <c r="I31" i="10" s="1"/>
  <c r="J31" i="10" s="1"/>
  <c r="K31" i="10" s="1"/>
  <c r="L31" i="10" s="1"/>
  <c r="M31" i="10" s="1"/>
  <c r="N31" i="10" s="1"/>
  <c r="O31" i="10" s="1"/>
  <c r="P31" i="10" s="1"/>
  <c r="Q31" i="10" s="1"/>
  <c r="R31" i="10" s="1"/>
  <c r="S31" i="10" s="1"/>
  <c r="T31" i="10" s="1"/>
  <c r="U31" i="10" s="1"/>
  <c r="V31" i="10" s="1"/>
  <c r="W31" i="10" s="1"/>
  <c r="X31" i="10" s="1"/>
  <c r="Y31" i="10" s="1"/>
  <c r="Z31" i="10" s="1"/>
  <c r="AA31" i="10" s="1"/>
  <c r="AB31" i="10" s="1"/>
  <c r="B31" i="10"/>
  <c r="AC30" i="10"/>
  <c r="B30" i="10"/>
  <c r="AC29" i="10"/>
  <c r="B29" i="10"/>
  <c r="C29" i="10" s="1"/>
  <c r="D29" i="10" s="1"/>
  <c r="E29" i="10" s="1"/>
  <c r="F29" i="10" s="1"/>
  <c r="G29" i="10" s="1"/>
  <c r="H29" i="10" s="1"/>
  <c r="I29" i="10" s="1"/>
  <c r="J29" i="10" s="1"/>
  <c r="K29" i="10" s="1"/>
  <c r="L29" i="10" s="1"/>
  <c r="M29" i="10" s="1"/>
  <c r="N29" i="10" s="1"/>
  <c r="O29" i="10" s="1"/>
  <c r="P29" i="10" s="1"/>
  <c r="Q29" i="10" s="1"/>
  <c r="R29" i="10" s="1"/>
  <c r="S29" i="10" s="1"/>
  <c r="T29" i="10" s="1"/>
  <c r="U29" i="10" s="1"/>
  <c r="V29" i="10" s="1"/>
  <c r="W29" i="10" s="1"/>
  <c r="X29" i="10" s="1"/>
  <c r="Y29" i="10" s="1"/>
  <c r="Z29" i="10" s="1"/>
  <c r="AA29" i="10" s="1"/>
  <c r="AB29" i="10" s="1"/>
  <c r="AC28" i="10"/>
  <c r="C28" i="10"/>
  <c r="D28" i="10" s="1"/>
  <c r="E28" i="10" s="1"/>
  <c r="F28" i="10" s="1"/>
  <c r="G28" i="10" s="1"/>
  <c r="H28" i="10" s="1"/>
  <c r="I28" i="10" s="1"/>
  <c r="J28" i="10" s="1"/>
  <c r="K28" i="10" s="1"/>
  <c r="L28" i="10" s="1"/>
  <c r="M28" i="10" s="1"/>
  <c r="N28" i="10" s="1"/>
  <c r="O28" i="10" s="1"/>
  <c r="P28" i="10" s="1"/>
  <c r="Q28" i="10" s="1"/>
  <c r="R28" i="10" s="1"/>
  <c r="S28" i="10" s="1"/>
  <c r="T28" i="10" s="1"/>
  <c r="U28" i="10" s="1"/>
  <c r="V28" i="10" s="1"/>
  <c r="W28" i="10" s="1"/>
  <c r="X28" i="10" s="1"/>
  <c r="Y28" i="10" s="1"/>
  <c r="Z28" i="10" s="1"/>
  <c r="AA28" i="10" s="1"/>
  <c r="AB28" i="10" s="1"/>
  <c r="B28" i="10"/>
  <c r="AC27" i="10"/>
  <c r="L27" i="10"/>
  <c r="M27" i="10" s="1"/>
  <c r="N27" i="10" s="1"/>
  <c r="O27" i="10" s="1"/>
  <c r="P27" i="10" s="1"/>
  <c r="Q27" i="10" s="1"/>
  <c r="R27" i="10" s="1"/>
  <c r="S27" i="10" s="1"/>
  <c r="T27" i="10" s="1"/>
  <c r="U27" i="10" s="1"/>
  <c r="V27" i="10" s="1"/>
  <c r="W27" i="10" s="1"/>
  <c r="X27" i="10" s="1"/>
  <c r="Y27" i="10" s="1"/>
  <c r="Z27" i="10" s="1"/>
  <c r="AA27" i="10" s="1"/>
  <c r="AB27" i="10" s="1"/>
  <c r="B27" i="10"/>
  <c r="C27" i="10" s="1"/>
  <c r="D27" i="10" s="1"/>
  <c r="E27" i="10" s="1"/>
  <c r="F27" i="10" s="1"/>
  <c r="G27" i="10" s="1"/>
  <c r="H27" i="10" s="1"/>
  <c r="I27" i="10" s="1"/>
  <c r="J27" i="10" s="1"/>
  <c r="K27" i="10" s="1"/>
  <c r="AC26" i="10"/>
  <c r="D26" i="10"/>
  <c r="E26" i="10" s="1"/>
  <c r="F26" i="10" s="1"/>
  <c r="G26" i="10" s="1"/>
  <c r="H26" i="10" s="1"/>
  <c r="I26" i="10" s="1"/>
  <c r="J26" i="10" s="1"/>
  <c r="K26" i="10" s="1"/>
  <c r="L26" i="10" s="1"/>
  <c r="M26" i="10" s="1"/>
  <c r="N26" i="10" s="1"/>
  <c r="O26" i="10" s="1"/>
  <c r="P26" i="10" s="1"/>
  <c r="Q26" i="10" s="1"/>
  <c r="R26" i="10" s="1"/>
  <c r="S26" i="10" s="1"/>
  <c r="T26" i="10" s="1"/>
  <c r="U26" i="10" s="1"/>
  <c r="V26" i="10" s="1"/>
  <c r="W26" i="10" s="1"/>
  <c r="X26" i="10" s="1"/>
  <c r="Y26" i="10" s="1"/>
  <c r="Z26" i="10" s="1"/>
  <c r="AA26" i="10" s="1"/>
  <c r="AB26" i="10" s="1"/>
  <c r="B26" i="10"/>
  <c r="C26" i="10" s="1"/>
  <c r="AC25" i="10"/>
  <c r="B25" i="10"/>
  <c r="AC24" i="10"/>
  <c r="J24" i="10"/>
  <c r="K24" i="10" s="1"/>
  <c r="L24" i="10" s="1"/>
  <c r="M24" i="10" s="1"/>
  <c r="N24" i="10" s="1"/>
  <c r="O24" i="10" s="1"/>
  <c r="P24" i="10" s="1"/>
  <c r="Q24" i="10" s="1"/>
  <c r="R24" i="10" s="1"/>
  <c r="S24" i="10" s="1"/>
  <c r="T24" i="10" s="1"/>
  <c r="U24" i="10" s="1"/>
  <c r="V24" i="10" s="1"/>
  <c r="W24" i="10" s="1"/>
  <c r="X24" i="10" s="1"/>
  <c r="Y24" i="10" s="1"/>
  <c r="Z24" i="10" s="1"/>
  <c r="AA24" i="10" s="1"/>
  <c r="AB24" i="10" s="1"/>
  <c r="B24" i="10"/>
  <c r="C24" i="10" s="1"/>
  <c r="D24" i="10" s="1"/>
  <c r="E24" i="10" s="1"/>
  <c r="F24" i="10" s="1"/>
  <c r="G24" i="10" s="1"/>
  <c r="H24" i="10" s="1"/>
  <c r="I24" i="10" s="1"/>
  <c r="AC23" i="10"/>
  <c r="D23" i="10"/>
  <c r="E23" i="10" s="1"/>
  <c r="F23" i="10" s="1"/>
  <c r="G23" i="10" s="1"/>
  <c r="H23" i="10" s="1"/>
  <c r="I23" i="10" s="1"/>
  <c r="J23" i="10" s="1"/>
  <c r="K23" i="10" s="1"/>
  <c r="L23" i="10" s="1"/>
  <c r="M23" i="10" s="1"/>
  <c r="N23" i="10" s="1"/>
  <c r="O23" i="10" s="1"/>
  <c r="P23" i="10" s="1"/>
  <c r="Q23" i="10" s="1"/>
  <c r="R23" i="10" s="1"/>
  <c r="S23" i="10" s="1"/>
  <c r="T23" i="10" s="1"/>
  <c r="U23" i="10" s="1"/>
  <c r="V23" i="10" s="1"/>
  <c r="W23" i="10" s="1"/>
  <c r="X23" i="10" s="1"/>
  <c r="Y23" i="10" s="1"/>
  <c r="Z23" i="10" s="1"/>
  <c r="AA23" i="10" s="1"/>
  <c r="AB23" i="10" s="1"/>
  <c r="C23" i="10"/>
  <c r="B23" i="10"/>
  <c r="AC22" i="10"/>
  <c r="B22" i="10"/>
  <c r="C22" i="10" s="1"/>
  <c r="D22" i="10" s="1"/>
  <c r="E22" i="10" s="1"/>
  <c r="F22" i="10" s="1"/>
  <c r="G22" i="10" s="1"/>
  <c r="H22" i="10" s="1"/>
  <c r="I22" i="10" s="1"/>
  <c r="J22" i="10" s="1"/>
  <c r="K22" i="10" s="1"/>
  <c r="L22" i="10" s="1"/>
  <c r="M22" i="10" s="1"/>
  <c r="N22" i="10" s="1"/>
  <c r="O22" i="10" s="1"/>
  <c r="P22" i="10" s="1"/>
  <c r="Q22" i="10" s="1"/>
  <c r="R22" i="10" s="1"/>
  <c r="S22" i="10" s="1"/>
  <c r="T22" i="10" s="1"/>
  <c r="U22" i="10" s="1"/>
  <c r="V22" i="10" s="1"/>
  <c r="W22" i="10" s="1"/>
  <c r="X22" i="10" s="1"/>
  <c r="Y22" i="10" s="1"/>
  <c r="Z22" i="10" s="1"/>
  <c r="AA22" i="10" s="1"/>
  <c r="AB22" i="10" s="1"/>
  <c r="AC21" i="10"/>
  <c r="C21" i="10"/>
  <c r="D21" i="10" s="1"/>
  <c r="E21" i="10" s="1"/>
  <c r="F21" i="10" s="1"/>
  <c r="G21" i="10" s="1"/>
  <c r="H21" i="10" s="1"/>
  <c r="I21" i="10" s="1"/>
  <c r="J21" i="10" s="1"/>
  <c r="K21" i="10" s="1"/>
  <c r="L21" i="10" s="1"/>
  <c r="M21" i="10" s="1"/>
  <c r="N21" i="10" s="1"/>
  <c r="O21" i="10" s="1"/>
  <c r="P21" i="10" s="1"/>
  <c r="Q21" i="10" s="1"/>
  <c r="R21" i="10" s="1"/>
  <c r="S21" i="10" s="1"/>
  <c r="T21" i="10" s="1"/>
  <c r="U21" i="10" s="1"/>
  <c r="V21" i="10" s="1"/>
  <c r="W21" i="10" s="1"/>
  <c r="X21" i="10" s="1"/>
  <c r="Y21" i="10" s="1"/>
  <c r="Z21" i="10" s="1"/>
  <c r="AA21" i="10" s="1"/>
  <c r="AB21" i="10" s="1"/>
  <c r="B21" i="10"/>
  <c r="AC20" i="10"/>
  <c r="C20" i="10"/>
  <c r="D20" i="10" s="1"/>
  <c r="E20" i="10" s="1"/>
  <c r="F20" i="10" s="1"/>
  <c r="G20" i="10" s="1"/>
  <c r="H20" i="10" s="1"/>
  <c r="I20" i="10" s="1"/>
  <c r="J20" i="10" s="1"/>
  <c r="K20" i="10" s="1"/>
  <c r="L20" i="10" s="1"/>
  <c r="M20" i="10" s="1"/>
  <c r="N20" i="10" s="1"/>
  <c r="O20" i="10" s="1"/>
  <c r="P20" i="10" s="1"/>
  <c r="Q20" i="10" s="1"/>
  <c r="R20" i="10" s="1"/>
  <c r="S20" i="10" s="1"/>
  <c r="T20" i="10" s="1"/>
  <c r="U20" i="10" s="1"/>
  <c r="V20" i="10" s="1"/>
  <c r="W20" i="10" s="1"/>
  <c r="X20" i="10" s="1"/>
  <c r="Y20" i="10" s="1"/>
  <c r="Z20" i="10" s="1"/>
  <c r="AA20" i="10" s="1"/>
  <c r="AB20" i="10" s="1"/>
  <c r="B20" i="10"/>
  <c r="AC19" i="10"/>
  <c r="B19" i="10"/>
  <c r="C19" i="10" s="1"/>
  <c r="D19" i="10" s="1"/>
  <c r="E19" i="10" s="1"/>
  <c r="F19" i="10" s="1"/>
  <c r="G19" i="10" s="1"/>
  <c r="H19" i="10" s="1"/>
  <c r="I19" i="10" s="1"/>
  <c r="J19" i="10" s="1"/>
  <c r="K19" i="10" s="1"/>
  <c r="L19" i="10" s="1"/>
  <c r="M19" i="10" s="1"/>
  <c r="N19" i="10" s="1"/>
  <c r="O19" i="10" s="1"/>
  <c r="P19" i="10" s="1"/>
  <c r="Q19" i="10" s="1"/>
  <c r="R19" i="10" s="1"/>
  <c r="S19" i="10" s="1"/>
  <c r="T19" i="10" s="1"/>
  <c r="U19" i="10" s="1"/>
  <c r="V19" i="10" s="1"/>
  <c r="W19" i="10" s="1"/>
  <c r="X19" i="10" s="1"/>
  <c r="Y19" i="10" s="1"/>
  <c r="Z19" i="10" s="1"/>
  <c r="AA19" i="10" s="1"/>
  <c r="AB19" i="10" s="1"/>
  <c r="AC18" i="10"/>
  <c r="B18" i="10"/>
  <c r="AC17" i="10"/>
  <c r="B17" i="10"/>
  <c r="C17" i="10" s="1"/>
  <c r="D17" i="10" s="1"/>
  <c r="E17" i="10" s="1"/>
  <c r="F17" i="10" s="1"/>
  <c r="G17" i="10" s="1"/>
  <c r="H17" i="10" s="1"/>
  <c r="I17" i="10" s="1"/>
  <c r="J17" i="10" s="1"/>
  <c r="K17" i="10" s="1"/>
  <c r="L17" i="10" s="1"/>
  <c r="M17" i="10" s="1"/>
  <c r="N17" i="10" s="1"/>
  <c r="O17" i="10" s="1"/>
  <c r="P17" i="10" s="1"/>
  <c r="Q17" i="10" s="1"/>
  <c r="R17" i="10" s="1"/>
  <c r="S17" i="10" s="1"/>
  <c r="T17" i="10" s="1"/>
  <c r="U17" i="10" s="1"/>
  <c r="V17" i="10" s="1"/>
  <c r="W17" i="10" s="1"/>
  <c r="X17" i="10" s="1"/>
  <c r="Y17" i="10" s="1"/>
  <c r="Z17" i="10" s="1"/>
  <c r="AA17" i="10" s="1"/>
  <c r="AB17" i="10" s="1"/>
  <c r="AC16" i="10"/>
  <c r="C16" i="10"/>
  <c r="D16" i="10" s="1"/>
  <c r="E16" i="10" s="1"/>
  <c r="F16" i="10" s="1"/>
  <c r="G16" i="10" s="1"/>
  <c r="H16" i="10" s="1"/>
  <c r="I16" i="10" s="1"/>
  <c r="J16" i="10" s="1"/>
  <c r="K16" i="10" s="1"/>
  <c r="L16" i="10" s="1"/>
  <c r="M16" i="10" s="1"/>
  <c r="N16" i="10" s="1"/>
  <c r="O16" i="10" s="1"/>
  <c r="P16" i="10" s="1"/>
  <c r="Q16" i="10" s="1"/>
  <c r="R16" i="10" s="1"/>
  <c r="S16" i="10" s="1"/>
  <c r="T16" i="10" s="1"/>
  <c r="U16" i="10" s="1"/>
  <c r="V16" i="10" s="1"/>
  <c r="W16" i="10" s="1"/>
  <c r="X16" i="10" s="1"/>
  <c r="Y16" i="10" s="1"/>
  <c r="Z16" i="10" s="1"/>
  <c r="AA16" i="10" s="1"/>
  <c r="AB16" i="10" s="1"/>
  <c r="B16" i="10"/>
  <c r="AC15" i="10"/>
  <c r="B15" i="10"/>
  <c r="AC14" i="10"/>
  <c r="D14" i="10"/>
  <c r="E14" i="10" s="1"/>
  <c r="F14" i="10" s="1"/>
  <c r="G14" i="10" s="1"/>
  <c r="H14" i="10" s="1"/>
  <c r="I14" i="10" s="1"/>
  <c r="J14" i="10" s="1"/>
  <c r="K14" i="10" s="1"/>
  <c r="L14" i="10" s="1"/>
  <c r="M14" i="10" s="1"/>
  <c r="N14" i="10" s="1"/>
  <c r="O14" i="10" s="1"/>
  <c r="P14" i="10" s="1"/>
  <c r="Q14" i="10" s="1"/>
  <c r="R14" i="10" s="1"/>
  <c r="S14" i="10" s="1"/>
  <c r="T14" i="10" s="1"/>
  <c r="U14" i="10" s="1"/>
  <c r="V14" i="10" s="1"/>
  <c r="W14" i="10" s="1"/>
  <c r="X14" i="10" s="1"/>
  <c r="Y14" i="10" s="1"/>
  <c r="Z14" i="10" s="1"/>
  <c r="AA14" i="10" s="1"/>
  <c r="AB14" i="10" s="1"/>
  <c r="C14" i="10"/>
  <c r="B14" i="10"/>
  <c r="AC13" i="10"/>
  <c r="F13" i="10"/>
  <c r="G13" i="10" s="1"/>
  <c r="H13" i="10" s="1"/>
  <c r="I13" i="10" s="1"/>
  <c r="J13" i="10" s="1"/>
  <c r="K13" i="10" s="1"/>
  <c r="L13" i="10" s="1"/>
  <c r="M13" i="10" s="1"/>
  <c r="N13" i="10" s="1"/>
  <c r="O13" i="10" s="1"/>
  <c r="P13" i="10" s="1"/>
  <c r="Q13" i="10" s="1"/>
  <c r="R13" i="10" s="1"/>
  <c r="S13" i="10" s="1"/>
  <c r="T13" i="10" s="1"/>
  <c r="U13" i="10" s="1"/>
  <c r="V13" i="10" s="1"/>
  <c r="W13" i="10" s="1"/>
  <c r="X13" i="10" s="1"/>
  <c r="Y13" i="10" s="1"/>
  <c r="Z13" i="10" s="1"/>
  <c r="AA13" i="10" s="1"/>
  <c r="AB13" i="10" s="1"/>
  <c r="C13" i="10"/>
  <c r="D13" i="10" s="1"/>
  <c r="E13" i="10" s="1"/>
  <c r="B13" i="10"/>
  <c r="AC12" i="10"/>
  <c r="C12" i="10"/>
  <c r="D12" i="10" s="1"/>
  <c r="E12" i="10" s="1"/>
  <c r="F12" i="10" s="1"/>
  <c r="G12" i="10" s="1"/>
  <c r="H12" i="10" s="1"/>
  <c r="I12" i="10" s="1"/>
  <c r="J12" i="10" s="1"/>
  <c r="K12" i="10" s="1"/>
  <c r="L12" i="10" s="1"/>
  <c r="M12" i="10" s="1"/>
  <c r="N12" i="10" s="1"/>
  <c r="O12" i="10" s="1"/>
  <c r="P12" i="10" s="1"/>
  <c r="Q12" i="10" s="1"/>
  <c r="R12" i="10" s="1"/>
  <c r="S12" i="10" s="1"/>
  <c r="T12" i="10" s="1"/>
  <c r="U12" i="10" s="1"/>
  <c r="V12" i="10" s="1"/>
  <c r="W12" i="10" s="1"/>
  <c r="X12" i="10" s="1"/>
  <c r="Y12" i="10" s="1"/>
  <c r="Z12" i="10" s="1"/>
  <c r="AA12" i="10" s="1"/>
  <c r="AB12" i="10" s="1"/>
  <c r="B12" i="10"/>
  <c r="AC11" i="10"/>
  <c r="B11" i="10"/>
  <c r="C11" i="10" s="1"/>
  <c r="D11" i="10" s="1"/>
  <c r="E11" i="10" s="1"/>
  <c r="F11" i="10" s="1"/>
  <c r="G11" i="10" s="1"/>
  <c r="H11" i="10" s="1"/>
  <c r="I11" i="10" s="1"/>
  <c r="J11" i="10" s="1"/>
  <c r="K11" i="10" s="1"/>
  <c r="L11" i="10" s="1"/>
  <c r="M11" i="10" s="1"/>
  <c r="N11" i="10" s="1"/>
  <c r="O11" i="10" s="1"/>
  <c r="P11" i="10" s="1"/>
  <c r="Q11" i="10" s="1"/>
  <c r="R11" i="10" s="1"/>
  <c r="S11" i="10" s="1"/>
  <c r="T11" i="10" s="1"/>
  <c r="U11" i="10" s="1"/>
  <c r="V11" i="10" s="1"/>
  <c r="W11" i="10" s="1"/>
  <c r="X11" i="10" s="1"/>
  <c r="Y11" i="10" s="1"/>
  <c r="Z11" i="10" s="1"/>
  <c r="AA11" i="10" s="1"/>
  <c r="AB11" i="10" s="1"/>
  <c r="AC10" i="10"/>
  <c r="C10" i="10"/>
  <c r="D10" i="10" s="1"/>
  <c r="E10" i="10" s="1"/>
  <c r="F10" i="10" s="1"/>
  <c r="G10" i="10" s="1"/>
  <c r="H10" i="10" s="1"/>
  <c r="I10" i="10" s="1"/>
  <c r="J10" i="10" s="1"/>
  <c r="K10" i="10" s="1"/>
  <c r="L10" i="10" s="1"/>
  <c r="M10" i="10" s="1"/>
  <c r="N10" i="10" s="1"/>
  <c r="O10" i="10" s="1"/>
  <c r="P10" i="10" s="1"/>
  <c r="Q10" i="10" s="1"/>
  <c r="R10" i="10" s="1"/>
  <c r="S10" i="10" s="1"/>
  <c r="T10" i="10" s="1"/>
  <c r="U10" i="10" s="1"/>
  <c r="V10" i="10" s="1"/>
  <c r="W10" i="10" s="1"/>
  <c r="X10" i="10" s="1"/>
  <c r="Y10" i="10" s="1"/>
  <c r="Z10" i="10" s="1"/>
  <c r="AA10" i="10" s="1"/>
  <c r="AB10" i="10" s="1"/>
  <c r="B10" i="10"/>
  <c r="AC9" i="10"/>
  <c r="C9" i="10" s="1"/>
  <c r="D9" i="10"/>
  <c r="B9" i="10"/>
  <c r="B4" i="10"/>
  <c r="C9" i="9"/>
  <c r="B9" i="9"/>
  <c r="G9" i="9" s="1"/>
  <c r="A9" i="9"/>
  <c r="AB5" i="9"/>
  <c r="AA5" i="9"/>
  <c r="X5" i="9"/>
  <c r="P5" i="9"/>
  <c r="N5" i="9"/>
  <c r="M5" i="9"/>
  <c r="B1" i="9"/>
  <c r="G54" i="7"/>
  <c r="F54" i="7"/>
  <c r="E54" i="7"/>
  <c r="D54" i="7"/>
  <c r="C54" i="7"/>
  <c r="F53" i="7"/>
  <c r="E53" i="7"/>
  <c r="D53" i="7"/>
  <c r="H53" i="7" s="1"/>
  <c r="C53" i="7"/>
  <c r="H52" i="7"/>
  <c r="F52" i="7"/>
  <c r="E52" i="7"/>
  <c r="D52" i="7"/>
  <c r="C52" i="7"/>
  <c r="G52" i="7" s="1"/>
  <c r="F51" i="7"/>
  <c r="E51" i="7"/>
  <c r="D51" i="7"/>
  <c r="C51" i="7"/>
  <c r="H51" i="7" s="1"/>
  <c r="F50" i="7"/>
  <c r="E50" i="7"/>
  <c r="D50" i="7"/>
  <c r="C50" i="7"/>
  <c r="H49" i="7"/>
  <c r="F49" i="7"/>
  <c r="E49" i="7"/>
  <c r="D49" i="7"/>
  <c r="G49" i="7" s="1"/>
  <c r="C49" i="7"/>
  <c r="F48" i="7"/>
  <c r="E48" i="7"/>
  <c r="D48" i="7"/>
  <c r="C48" i="7"/>
  <c r="H48" i="7" s="1"/>
  <c r="F47" i="7"/>
  <c r="E47" i="7"/>
  <c r="D47" i="7"/>
  <c r="H47" i="7" s="1"/>
  <c r="C47" i="7"/>
  <c r="F46" i="7"/>
  <c r="E46" i="7"/>
  <c r="D46" i="7"/>
  <c r="C46" i="7"/>
  <c r="H45" i="7"/>
  <c r="F45" i="7"/>
  <c r="E45" i="7"/>
  <c r="D45" i="7"/>
  <c r="G45" i="7" s="1"/>
  <c r="C45" i="7"/>
  <c r="F44" i="7"/>
  <c r="E44" i="7"/>
  <c r="D44" i="7"/>
  <c r="C44" i="7"/>
  <c r="H44" i="7" s="1"/>
  <c r="G43" i="7"/>
  <c r="F43" i="7"/>
  <c r="E43" i="7"/>
  <c r="D43" i="7"/>
  <c r="H43" i="7" s="1"/>
  <c r="C43" i="7"/>
  <c r="F42" i="7"/>
  <c r="E42" i="7"/>
  <c r="D42" i="7"/>
  <c r="C42" i="7"/>
  <c r="F41" i="7"/>
  <c r="G41" i="7" s="1"/>
  <c r="E41" i="7"/>
  <c r="H41" i="7" s="1"/>
  <c r="D41" i="7"/>
  <c r="C41" i="7"/>
  <c r="F40" i="7"/>
  <c r="H40" i="7" s="1"/>
  <c r="E40" i="7"/>
  <c r="D40" i="7"/>
  <c r="C40" i="7"/>
  <c r="F39" i="7"/>
  <c r="E39" i="7"/>
  <c r="D39" i="7"/>
  <c r="H39" i="7" s="1"/>
  <c r="C39" i="7"/>
  <c r="F38" i="7"/>
  <c r="E38" i="7"/>
  <c r="D38" i="7"/>
  <c r="H38" i="7" s="1"/>
  <c r="C38" i="7"/>
  <c r="F37" i="7"/>
  <c r="E37" i="7"/>
  <c r="D37" i="7"/>
  <c r="G37" i="7" s="1"/>
  <c r="C37" i="7"/>
  <c r="H36" i="7"/>
  <c r="G36" i="7"/>
  <c r="F36" i="7"/>
  <c r="E36" i="7"/>
  <c r="D36" i="7"/>
  <c r="C36" i="7"/>
  <c r="F35" i="7"/>
  <c r="E35" i="7"/>
  <c r="D35" i="7"/>
  <c r="C35" i="7"/>
  <c r="F34" i="7"/>
  <c r="E34" i="7"/>
  <c r="D34" i="7"/>
  <c r="C34" i="7"/>
  <c r="F33" i="7"/>
  <c r="E33" i="7"/>
  <c r="D33" i="7"/>
  <c r="H33" i="7" s="1"/>
  <c r="C33" i="7"/>
  <c r="F32" i="7"/>
  <c r="G32" i="7" s="1"/>
  <c r="E32" i="7"/>
  <c r="D32" i="7"/>
  <c r="C32" i="7"/>
  <c r="F31" i="7"/>
  <c r="E31" i="7"/>
  <c r="D31" i="7"/>
  <c r="C31" i="7"/>
  <c r="F30" i="7"/>
  <c r="E30" i="7"/>
  <c r="D30" i="7"/>
  <c r="H30" i="7" s="1"/>
  <c r="C30" i="7"/>
  <c r="F29" i="7"/>
  <c r="E29" i="7"/>
  <c r="D29" i="7"/>
  <c r="C29" i="7"/>
  <c r="H29" i="7" s="1"/>
  <c r="H28" i="7"/>
  <c r="F28" i="7"/>
  <c r="E28" i="7"/>
  <c r="D28" i="7"/>
  <c r="G28" i="7" s="1"/>
  <c r="C28" i="7"/>
  <c r="F27" i="7"/>
  <c r="E27" i="7"/>
  <c r="D27" i="7"/>
  <c r="H27" i="7" s="1"/>
  <c r="C27" i="7"/>
  <c r="F26" i="7"/>
  <c r="E26" i="7"/>
  <c r="D26" i="7"/>
  <c r="H26" i="7" s="1"/>
  <c r="C26" i="7"/>
  <c r="F25" i="7"/>
  <c r="E25" i="7"/>
  <c r="D25" i="7"/>
  <c r="C25" i="7"/>
  <c r="H24" i="7"/>
  <c r="F24" i="7"/>
  <c r="E24" i="7"/>
  <c r="D24" i="7"/>
  <c r="C24" i="7"/>
  <c r="F23" i="7"/>
  <c r="E23" i="7"/>
  <c r="D23" i="7"/>
  <c r="H23" i="7" s="1"/>
  <c r="C23" i="7"/>
  <c r="F22" i="7"/>
  <c r="E22" i="7"/>
  <c r="D22" i="7"/>
  <c r="H22" i="7" s="1"/>
  <c r="C22" i="7"/>
  <c r="F21" i="7"/>
  <c r="E21" i="7"/>
  <c r="D21" i="7"/>
  <c r="C21" i="7"/>
  <c r="G20" i="7"/>
  <c r="F20" i="7"/>
  <c r="E20" i="7"/>
  <c r="D20" i="7"/>
  <c r="C20" i="7"/>
  <c r="F19" i="7"/>
  <c r="E19" i="7"/>
  <c r="D19" i="7"/>
  <c r="C19" i="7"/>
  <c r="F18" i="7"/>
  <c r="E18" i="7"/>
  <c r="D18" i="7"/>
  <c r="H18" i="7" s="1"/>
  <c r="C18" i="7"/>
  <c r="F17" i="7"/>
  <c r="E17" i="7"/>
  <c r="H17" i="7" s="1"/>
  <c r="D17" i="7"/>
  <c r="C17" i="7"/>
  <c r="H16" i="7"/>
  <c r="F16" i="7"/>
  <c r="E16" i="7"/>
  <c r="D16" i="7"/>
  <c r="C16" i="7"/>
  <c r="G15" i="7"/>
  <c r="F15" i="7"/>
  <c r="E15" i="7"/>
  <c r="D15" i="7"/>
  <c r="H15" i="7" s="1"/>
  <c r="C15" i="7"/>
  <c r="F14" i="7"/>
  <c r="E14" i="7"/>
  <c r="D14" i="7"/>
  <c r="G14" i="7" s="1"/>
  <c r="C14" i="7"/>
  <c r="H13" i="7"/>
  <c r="F13" i="7"/>
  <c r="E13" i="7"/>
  <c r="D13" i="7"/>
  <c r="G13" i="7" s="1"/>
  <c r="C13" i="7"/>
  <c r="F12" i="7"/>
  <c r="E12" i="7"/>
  <c r="D12" i="7"/>
  <c r="H12" i="7" s="1"/>
  <c r="C12" i="7"/>
  <c r="G11" i="7"/>
  <c r="F11" i="7"/>
  <c r="E11" i="7"/>
  <c r="D11" i="7"/>
  <c r="H11" i="7" s="1"/>
  <c r="C11" i="7"/>
  <c r="F10" i="7"/>
  <c r="E10" i="7"/>
  <c r="D10" i="7"/>
  <c r="H10" i="7" s="1"/>
  <c r="C10" i="7"/>
  <c r="H9" i="7"/>
  <c r="F9" i="7"/>
  <c r="E9" i="7"/>
  <c r="D9" i="7"/>
  <c r="G9" i="7" s="1"/>
  <c r="C9" i="7"/>
  <c r="F8" i="7"/>
  <c r="E8" i="7"/>
  <c r="H8" i="7" s="1"/>
  <c r="D8" i="7"/>
  <c r="C8" i="7"/>
  <c r="H7" i="7"/>
  <c r="F7" i="7"/>
  <c r="E7" i="7"/>
  <c r="D7" i="7"/>
  <c r="G7" i="7" s="1"/>
  <c r="C7" i="7"/>
  <c r="B2" i="1"/>
  <c r="B2" i="9" s="1"/>
  <c r="E5" i="9" s="1"/>
  <c r="G5" i="9" l="1"/>
  <c r="B5" i="10"/>
  <c r="H21" i="7"/>
  <c r="G21" i="7"/>
  <c r="H9" i="9"/>
  <c r="I9" i="9"/>
  <c r="H37" i="7"/>
  <c r="G33" i="7"/>
  <c r="G29" i="7"/>
  <c r="H25" i="7"/>
  <c r="G25" i="7"/>
  <c r="G53" i="7"/>
  <c r="G8" i="7"/>
  <c r="J5" i="9"/>
  <c r="C115" i="10"/>
  <c r="D115" i="10" s="1"/>
  <c r="E115" i="10" s="1"/>
  <c r="F115" i="10" s="1"/>
  <c r="G115" i="10" s="1"/>
  <c r="H115" i="10" s="1"/>
  <c r="I115" i="10" s="1"/>
  <c r="J115" i="10" s="1"/>
  <c r="K115" i="10" s="1"/>
  <c r="L115" i="10" s="1"/>
  <c r="M115" i="10" s="1"/>
  <c r="N115" i="10" s="1"/>
  <c r="O115" i="10" s="1"/>
  <c r="P115" i="10" s="1"/>
  <c r="Q115" i="10" s="1"/>
  <c r="R115" i="10" s="1"/>
  <c r="S115" i="10" s="1"/>
  <c r="T115" i="10" s="1"/>
  <c r="U115" i="10" s="1"/>
  <c r="V115" i="10" s="1"/>
  <c r="W115" i="10" s="1"/>
  <c r="X115" i="10" s="1"/>
  <c r="Y115" i="10" s="1"/>
  <c r="Z115" i="10" s="1"/>
  <c r="AA115" i="10" s="1"/>
  <c r="AB115" i="10" s="1"/>
  <c r="B161" i="10"/>
  <c r="H20" i="7"/>
  <c r="G24" i="7"/>
  <c r="G40" i="7"/>
  <c r="G44" i="7"/>
  <c r="G48" i="7"/>
  <c r="K5" i="9"/>
  <c r="C45" i="10"/>
  <c r="D45" i="10" s="1"/>
  <c r="E45" i="10" s="1"/>
  <c r="F45" i="10" s="1"/>
  <c r="G45" i="10" s="1"/>
  <c r="H45" i="10" s="1"/>
  <c r="I45" i="10" s="1"/>
  <c r="J45" i="10" s="1"/>
  <c r="K45" i="10" s="1"/>
  <c r="L45" i="10" s="1"/>
  <c r="M45" i="10" s="1"/>
  <c r="N45" i="10" s="1"/>
  <c r="O45" i="10" s="1"/>
  <c r="P45" i="10" s="1"/>
  <c r="Q45" i="10" s="1"/>
  <c r="R45" i="10" s="1"/>
  <c r="S45" i="10" s="1"/>
  <c r="T45" i="10" s="1"/>
  <c r="U45" i="10" s="1"/>
  <c r="V45" i="10" s="1"/>
  <c r="W45" i="10" s="1"/>
  <c r="X45" i="10" s="1"/>
  <c r="Y45" i="10" s="1"/>
  <c r="Z45" i="10" s="1"/>
  <c r="AA45" i="10" s="1"/>
  <c r="AB45" i="10" s="1"/>
  <c r="G16" i="7"/>
  <c r="L5" i="9"/>
  <c r="H42" i="7"/>
  <c r="G42" i="7"/>
  <c r="G26" i="7"/>
  <c r="C25" i="10"/>
  <c r="D25" i="10" s="1"/>
  <c r="E25" i="10" s="1"/>
  <c r="F25" i="10" s="1"/>
  <c r="G25" i="10" s="1"/>
  <c r="H25" i="10" s="1"/>
  <c r="I25" i="10" s="1"/>
  <c r="J25" i="10" s="1"/>
  <c r="K25" i="10" s="1"/>
  <c r="L25" i="10" s="1"/>
  <c r="M25" i="10" s="1"/>
  <c r="N25" i="10" s="1"/>
  <c r="O25" i="10" s="1"/>
  <c r="P25" i="10" s="1"/>
  <c r="Q25" i="10" s="1"/>
  <c r="R25" i="10" s="1"/>
  <c r="S25" i="10" s="1"/>
  <c r="T25" i="10" s="1"/>
  <c r="U25" i="10" s="1"/>
  <c r="V25" i="10" s="1"/>
  <c r="W25" i="10" s="1"/>
  <c r="X25" i="10" s="1"/>
  <c r="Y25" i="10" s="1"/>
  <c r="Z25" i="10" s="1"/>
  <c r="AA25" i="10" s="1"/>
  <c r="AB25" i="10" s="1"/>
  <c r="H46" i="7"/>
  <c r="G22" i="7"/>
  <c r="G30" i="7"/>
  <c r="C15" i="10"/>
  <c r="D15" i="10" s="1"/>
  <c r="E15" i="10" s="1"/>
  <c r="F15" i="10" s="1"/>
  <c r="G15" i="10" s="1"/>
  <c r="H15" i="10" s="1"/>
  <c r="I15" i="10" s="1"/>
  <c r="J15" i="10" s="1"/>
  <c r="K15" i="10" s="1"/>
  <c r="L15" i="10" s="1"/>
  <c r="M15" i="10" s="1"/>
  <c r="N15" i="10" s="1"/>
  <c r="O15" i="10" s="1"/>
  <c r="P15" i="10" s="1"/>
  <c r="Q15" i="10" s="1"/>
  <c r="R15" i="10" s="1"/>
  <c r="S15" i="10" s="1"/>
  <c r="T15" i="10" s="1"/>
  <c r="U15" i="10" s="1"/>
  <c r="V15" i="10" s="1"/>
  <c r="W15" i="10" s="1"/>
  <c r="X15" i="10" s="1"/>
  <c r="Y15" i="10" s="1"/>
  <c r="Z15" i="10" s="1"/>
  <c r="AA15" i="10" s="1"/>
  <c r="AB15" i="10" s="1"/>
  <c r="D5" i="9"/>
  <c r="C96" i="10"/>
  <c r="D96" i="10" s="1"/>
  <c r="E96" i="10" s="1"/>
  <c r="F96" i="10" s="1"/>
  <c r="G96" i="10" s="1"/>
  <c r="H96" i="10" s="1"/>
  <c r="I96" i="10" s="1"/>
  <c r="J96" i="10" s="1"/>
  <c r="K96" i="10" s="1"/>
  <c r="L96" i="10" s="1"/>
  <c r="M96" i="10" s="1"/>
  <c r="N96" i="10" s="1"/>
  <c r="O96" i="10" s="1"/>
  <c r="P96" i="10" s="1"/>
  <c r="Q96" i="10" s="1"/>
  <c r="R96" i="10" s="1"/>
  <c r="S96" i="10" s="1"/>
  <c r="T96" i="10" s="1"/>
  <c r="U96" i="10" s="1"/>
  <c r="V96" i="10" s="1"/>
  <c r="W96" i="10" s="1"/>
  <c r="X96" i="10" s="1"/>
  <c r="Y96" i="10" s="1"/>
  <c r="Z96" i="10" s="1"/>
  <c r="AA96" i="10" s="1"/>
  <c r="AB96" i="10" s="1"/>
  <c r="C65" i="10"/>
  <c r="D65" i="10" s="1"/>
  <c r="E65" i="10" s="1"/>
  <c r="F65" i="10" s="1"/>
  <c r="G65" i="10" s="1"/>
  <c r="H65" i="10" s="1"/>
  <c r="I65" i="10" s="1"/>
  <c r="J65" i="10" s="1"/>
  <c r="K65" i="10" s="1"/>
  <c r="L65" i="10" s="1"/>
  <c r="M65" i="10" s="1"/>
  <c r="N65" i="10" s="1"/>
  <c r="O65" i="10" s="1"/>
  <c r="P65" i="10" s="1"/>
  <c r="Q65" i="10" s="1"/>
  <c r="R65" i="10" s="1"/>
  <c r="S65" i="10" s="1"/>
  <c r="T65" i="10" s="1"/>
  <c r="U65" i="10" s="1"/>
  <c r="V65" i="10" s="1"/>
  <c r="W65" i="10" s="1"/>
  <c r="X65" i="10" s="1"/>
  <c r="Y65" i="10" s="1"/>
  <c r="Z65" i="10" s="1"/>
  <c r="AA65" i="10" s="1"/>
  <c r="AB65" i="10" s="1"/>
  <c r="B109" i="10"/>
  <c r="H34" i="7"/>
  <c r="D9" i="9"/>
  <c r="G18" i="7"/>
  <c r="G35" i="7"/>
  <c r="G10" i="7"/>
  <c r="C30" i="10"/>
  <c r="D30" i="10" s="1"/>
  <c r="E30" i="10" s="1"/>
  <c r="F30" i="10" s="1"/>
  <c r="G30" i="10" s="1"/>
  <c r="H30" i="10" s="1"/>
  <c r="I30" i="10" s="1"/>
  <c r="J30" i="10" s="1"/>
  <c r="K30" i="10" s="1"/>
  <c r="L30" i="10" s="1"/>
  <c r="M30" i="10" s="1"/>
  <c r="N30" i="10" s="1"/>
  <c r="O30" i="10" s="1"/>
  <c r="P30" i="10" s="1"/>
  <c r="Q30" i="10" s="1"/>
  <c r="R30" i="10" s="1"/>
  <c r="S30" i="10" s="1"/>
  <c r="T30" i="10" s="1"/>
  <c r="U30" i="10" s="1"/>
  <c r="V30" i="10" s="1"/>
  <c r="W30" i="10" s="1"/>
  <c r="X30" i="10" s="1"/>
  <c r="Y30" i="10" s="1"/>
  <c r="Z30" i="10" s="1"/>
  <c r="AA30" i="10" s="1"/>
  <c r="AB30" i="10" s="1"/>
  <c r="C52" i="10"/>
  <c r="D52" i="10" s="1"/>
  <c r="E52" i="10" s="1"/>
  <c r="F52" i="10" s="1"/>
  <c r="G52" i="10" s="1"/>
  <c r="H52" i="10" s="1"/>
  <c r="I52" i="10" s="1"/>
  <c r="J52" i="10" s="1"/>
  <c r="K52" i="10" s="1"/>
  <c r="L52" i="10" s="1"/>
  <c r="M52" i="10" s="1"/>
  <c r="N52" i="10" s="1"/>
  <c r="O52" i="10" s="1"/>
  <c r="P52" i="10" s="1"/>
  <c r="Q52" i="10" s="1"/>
  <c r="R52" i="10" s="1"/>
  <c r="S52" i="10" s="1"/>
  <c r="T52" i="10" s="1"/>
  <c r="U52" i="10" s="1"/>
  <c r="V52" i="10" s="1"/>
  <c r="W52" i="10" s="1"/>
  <c r="X52" i="10" s="1"/>
  <c r="Y52" i="10" s="1"/>
  <c r="Z52" i="10" s="1"/>
  <c r="AA52" i="10" s="1"/>
  <c r="AB52" i="10" s="1"/>
  <c r="H14" i="7"/>
  <c r="H31" i="7"/>
  <c r="G31" i="7"/>
  <c r="G47" i="7"/>
  <c r="G51" i="7"/>
  <c r="C18" i="10"/>
  <c r="D18" i="10" s="1"/>
  <c r="E18" i="10" s="1"/>
  <c r="F18" i="10" s="1"/>
  <c r="G18" i="10" s="1"/>
  <c r="H18" i="10" s="1"/>
  <c r="I18" i="10" s="1"/>
  <c r="J18" i="10" s="1"/>
  <c r="K18" i="10" s="1"/>
  <c r="L18" i="10" s="1"/>
  <c r="M18" i="10" s="1"/>
  <c r="N18" i="10" s="1"/>
  <c r="O18" i="10" s="1"/>
  <c r="P18" i="10" s="1"/>
  <c r="Q18" i="10" s="1"/>
  <c r="R18" i="10" s="1"/>
  <c r="S18" i="10" s="1"/>
  <c r="T18" i="10" s="1"/>
  <c r="U18" i="10" s="1"/>
  <c r="V18" i="10" s="1"/>
  <c r="W18" i="10" s="1"/>
  <c r="X18" i="10" s="1"/>
  <c r="Y18" i="10" s="1"/>
  <c r="Z18" i="10" s="1"/>
  <c r="AA18" i="10" s="1"/>
  <c r="AB18" i="10" s="1"/>
  <c r="G50" i="7"/>
  <c r="H50" i="7"/>
  <c r="G34" i="7"/>
  <c r="G38" i="7"/>
  <c r="B5" i="9"/>
  <c r="C5" i="9"/>
  <c r="R5" i="9"/>
  <c r="S5" i="9"/>
  <c r="V5" i="9"/>
  <c r="W5" i="9"/>
  <c r="U5" i="9"/>
  <c r="T5" i="9"/>
  <c r="Q5" i="9"/>
  <c r="O5" i="9"/>
  <c r="Z5" i="9"/>
  <c r="Y5" i="9"/>
  <c r="G19" i="7"/>
  <c r="H35" i="7"/>
  <c r="F5" i="9"/>
  <c r="H5" i="9"/>
  <c r="C150" i="10"/>
  <c r="D150" i="10" s="1"/>
  <c r="E150" i="10" s="1"/>
  <c r="F150" i="10" s="1"/>
  <c r="G150" i="10" s="1"/>
  <c r="H150" i="10" s="1"/>
  <c r="I150" i="10" s="1"/>
  <c r="J150" i="10" s="1"/>
  <c r="K150" i="10" s="1"/>
  <c r="L150" i="10" s="1"/>
  <c r="M150" i="10" s="1"/>
  <c r="N150" i="10" s="1"/>
  <c r="O150" i="10" s="1"/>
  <c r="P150" i="10" s="1"/>
  <c r="Q150" i="10" s="1"/>
  <c r="R150" i="10" s="1"/>
  <c r="S150" i="10" s="1"/>
  <c r="T150" i="10" s="1"/>
  <c r="U150" i="10" s="1"/>
  <c r="V150" i="10" s="1"/>
  <c r="W150" i="10" s="1"/>
  <c r="X150" i="10" s="1"/>
  <c r="Y150" i="10" s="1"/>
  <c r="Z150" i="10" s="1"/>
  <c r="AA150" i="10" s="1"/>
  <c r="AB150" i="10" s="1"/>
  <c r="G23" i="7"/>
  <c r="H19" i="7"/>
  <c r="I5" i="9"/>
  <c r="E9" i="10"/>
  <c r="H32" i="7"/>
  <c r="G17" i="7"/>
  <c r="C67" i="10"/>
  <c r="D67" i="10" s="1"/>
  <c r="E67" i="10" s="1"/>
  <c r="F67" i="10" s="1"/>
  <c r="G67" i="10" s="1"/>
  <c r="H67" i="10" s="1"/>
  <c r="I67" i="10" s="1"/>
  <c r="J67" i="10" s="1"/>
  <c r="K67" i="10" s="1"/>
  <c r="L67" i="10" s="1"/>
  <c r="M67" i="10" s="1"/>
  <c r="N67" i="10" s="1"/>
  <c r="O67" i="10" s="1"/>
  <c r="P67" i="10" s="1"/>
  <c r="Q67" i="10" s="1"/>
  <c r="R67" i="10" s="1"/>
  <c r="S67" i="10" s="1"/>
  <c r="T67" i="10" s="1"/>
  <c r="U67" i="10" s="1"/>
  <c r="V67" i="10" s="1"/>
  <c r="W67" i="10" s="1"/>
  <c r="X67" i="10" s="1"/>
  <c r="Y67" i="10" s="1"/>
  <c r="Z67" i="10" s="1"/>
  <c r="AA67" i="10" s="1"/>
  <c r="AB67" i="10" s="1"/>
  <c r="C49" i="10"/>
  <c r="D49" i="10" s="1"/>
  <c r="E49" i="10" s="1"/>
  <c r="F49" i="10" s="1"/>
  <c r="G49" i="10" s="1"/>
  <c r="H49" i="10" s="1"/>
  <c r="I49" i="10" s="1"/>
  <c r="J49" i="10" s="1"/>
  <c r="K49" i="10" s="1"/>
  <c r="L49" i="10" s="1"/>
  <c r="M49" i="10" s="1"/>
  <c r="N49" i="10" s="1"/>
  <c r="O49" i="10" s="1"/>
  <c r="P49" i="10" s="1"/>
  <c r="Q49" i="10" s="1"/>
  <c r="R49" i="10" s="1"/>
  <c r="S49" i="10" s="1"/>
  <c r="T49" i="10" s="1"/>
  <c r="U49" i="10" s="1"/>
  <c r="V49" i="10" s="1"/>
  <c r="W49" i="10" s="1"/>
  <c r="X49" i="10" s="1"/>
  <c r="Y49" i="10" s="1"/>
  <c r="Z49" i="10" s="1"/>
  <c r="AA49" i="10" s="1"/>
  <c r="AB49" i="10" s="1"/>
  <c r="G12" i="7"/>
  <c r="G27" i="7"/>
  <c r="G46" i="7"/>
  <c r="H54" i="7"/>
  <c r="C34" i="10"/>
  <c r="D34" i="10" s="1"/>
  <c r="E34" i="10" s="1"/>
  <c r="F34" i="10" s="1"/>
  <c r="G34" i="10" s="1"/>
  <c r="H34" i="10" s="1"/>
  <c r="I34" i="10" s="1"/>
  <c r="J34" i="10" s="1"/>
  <c r="K34" i="10" s="1"/>
  <c r="L34" i="10" s="1"/>
  <c r="M34" i="10" s="1"/>
  <c r="N34" i="10" s="1"/>
  <c r="O34" i="10" s="1"/>
  <c r="P34" i="10" s="1"/>
  <c r="Q34" i="10" s="1"/>
  <c r="R34" i="10" s="1"/>
  <c r="S34" i="10" s="1"/>
  <c r="T34" i="10" s="1"/>
  <c r="U34" i="10" s="1"/>
  <c r="V34" i="10" s="1"/>
  <c r="W34" i="10" s="1"/>
  <c r="X34" i="10" s="1"/>
  <c r="Y34" i="10" s="1"/>
  <c r="Z34" i="10" s="1"/>
  <c r="AA34" i="10" s="1"/>
  <c r="AB34" i="10" s="1"/>
  <c r="C76" i="10"/>
  <c r="D76" i="10" s="1"/>
  <c r="E76" i="10" s="1"/>
  <c r="F76" i="10" s="1"/>
  <c r="G76" i="10" s="1"/>
  <c r="H76" i="10" s="1"/>
  <c r="I76" i="10" s="1"/>
  <c r="J76" i="10" s="1"/>
  <c r="K76" i="10" s="1"/>
  <c r="L76" i="10" s="1"/>
  <c r="M76" i="10" s="1"/>
  <c r="N76" i="10" s="1"/>
  <c r="O76" i="10" s="1"/>
  <c r="P76" i="10" s="1"/>
  <c r="Q76" i="10" s="1"/>
  <c r="R76" i="10" s="1"/>
  <c r="S76" i="10" s="1"/>
  <c r="T76" i="10" s="1"/>
  <c r="U76" i="10" s="1"/>
  <c r="V76" i="10" s="1"/>
  <c r="W76" i="10" s="1"/>
  <c r="X76" i="10" s="1"/>
  <c r="Y76" i="10" s="1"/>
  <c r="Z76" i="10" s="1"/>
  <c r="AA76" i="10" s="1"/>
  <c r="AB76" i="10" s="1"/>
  <c r="G39" i="7"/>
  <c r="E61" i="10"/>
  <c r="H113" i="10"/>
  <c r="C149" i="10"/>
  <c r="D149" i="10" s="1"/>
  <c r="E149" i="10" s="1"/>
  <c r="F149" i="10" s="1"/>
  <c r="G149" i="10" s="1"/>
  <c r="H149" i="10" s="1"/>
  <c r="I149" i="10" s="1"/>
  <c r="J149" i="10" s="1"/>
  <c r="K149" i="10" s="1"/>
  <c r="L149" i="10" s="1"/>
  <c r="M149" i="10" s="1"/>
  <c r="N149" i="10" s="1"/>
  <c r="O149" i="10" s="1"/>
  <c r="P149" i="10" s="1"/>
  <c r="Q149" i="10" s="1"/>
  <c r="R149" i="10" s="1"/>
  <c r="S149" i="10" s="1"/>
  <c r="T149" i="10" s="1"/>
  <c r="U149" i="10" s="1"/>
  <c r="V149" i="10" s="1"/>
  <c r="W149" i="10" s="1"/>
  <c r="X149" i="10" s="1"/>
  <c r="Y149" i="10" s="1"/>
  <c r="Z149" i="10" s="1"/>
  <c r="AA149" i="10" s="1"/>
  <c r="AB149" i="10" s="1"/>
  <c r="C62" i="10"/>
  <c r="C143" i="10"/>
  <c r="D143" i="10" s="1"/>
  <c r="E143" i="10" s="1"/>
  <c r="F143" i="10" s="1"/>
  <c r="G143" i="10" s="1"/>
  <c r="H143" i="10" s="1"/>
  <c r="I143" i="10" s="1"/>
  <c r="J143" i="10" s="1"/>
  <c r="K143" i="10" s="1"/>
  <c r="L143" i="10" s="1"/>
  <c r="M143" i="10" s="1"/>
  <c r="N143" i="10" s="1"/>
  <c r="O143" i="10" s="1"/>
  <c r="P143" i="10" s="1"/>
  <c r="Q143" i="10" s="1"/>
  <c r="R143" i="10" s="1"/>
  <c r="S143" i="10" s="1"/>
  <c r="T143" i="10" s="1"/>
  <c r="U143" i="10" s="1"/>
  <c r="V143" i="10" s="1"/>
  <c r="W143" i="10" s="1"/>
  <c r="X143" i="10" s="1"/>
  <c r="Y143" i="10" s="1"/>
  <c r="Z143" i="10" s="1"/>
  <c r="AA143" i="10" s="1"/>
  <c r="AB143" i="10" s="1"/>
  <c r="C107" i="10"/>
  <c r="D107" i="10" s="1"/>
  <c r="E107" i="10" s="1"/>
  <c r="F107" i="10" s="1"/>
  <c r="G107" i="10" s="1"/>
  <c r="H107" i="10" s="1"/>
  <c r="I107" i="10" s="1"/>
  <c r="J107" i="10" s="1"/>
  <c r="K107" i="10" s="1"/>
  <c r="L107" i="10" s="1"/>
  <c r="M107" i="10" s="1"/>
  <c r="N107" i="10" s="1"/>
  <c r="O107" i="10" s="1"/>
  <c r="P107" i="10" s="1"/>
  <c r="Q107" i="10" s="1"/>
  <c r="R107" i="10" s="1"/>
  <c r="S107" i="10" s="1"/>
  <c r="T107" i="10" s="1"/>
  <c r="U107" i="10" s="1"/>
  <c r="V107" i="10" s="1"/>
  <c r="W107" i="10" s="1"/>
  <c r="X107" i="10" s="1"/>
  <c r="Y107" i="10" s="1"/>
  <c r="Z107" i="10" s="1"/>
  <c r="AA107" i="10" s="1"/>
  <c r="AB107" i="10" s="1"/>
  <c r="C68" i="10"/>
  <c r="D68" i="10" s="1"/>
  <c r="E68" i="10" s="1"/>
  <c r="F68" i="10" s="1"/>
  <c r="G68" i="10" s="1"/>
  <c r="H68" i="10" s="1"/>
  <c r="I68" i="10" s="1"/>
  <c r="J68" i="10" s="1"/>
  <c r="K68" i="10" s="1"/>
  <c r="L68" i="10" s="1"/>
  <c r="M68" i="10" s="1"/>
  <c r="N68" i="10" s="1"/>
  <c r="O68" i="10" s="1"/>
  <c r="P68" i="10" s="1"/>
  <c r="Q68" i="10" s="1"/>
  <c r="R68" i="10" s="1"/>
  <c r="S68" i="10" s="1"/>
  <c r="T68" i="10" s="1"/>
  <c r="U68" i="10" s="1"/>
  <c r="V68" i="10" s="1"/>
  <c r="W68" i="10" s="1"/>
  <c r="X68" i="10" s="1"/>
  <c r="Y68" i="10" s="1"/>
  <c r="Z68" i="10" s="1"/>
  <c r="AA68" i="10" s="1"/>
  <c r="AB68" i="10" s="1"/>
  <c r="E114" i="10"/>
  <c r="F114" i="10" s="1"/>
  <c r="B57" i="10"/>
  <c r="C74" i="10"/>
  <c r="D74" i="10" s="1"/>
  <c r="E74" i="10" s="1"/>
  <c r="F74" i="10" s="1"/>
  <c r="G74" i="10" s="1"/>
  <c r="H74" i="10" s="1"/>
  <c r="I74" i="10" s="1"/>
  <c r="J74" i="10" s="1"/>
  <c r="K74" i="10" s="1"/>
  <c r="L74" i="10" s="1"/>
  <c r="M74" i="10" s="1"/>
  <c r="N74" i="10" s="1"/>
  <c r="O74" i="10" s="1"/>
  <c r="P74" i="10" s="1"/>
  <c r="Q74" i="10" s="1"/>
  <c r="R74" i="10" s="1"/>
  <c r="S74" i="10" s="1"/>
  <c r="T74" i="10" s="1"/>
  <c r="U74" i="10" s="1"/>
  <c r="V74" i="10" s="1"/>
  <c r="W74" i="10" s="1"/>
  <c r="X74" i="10" s="1"/>
  <c r="Y74" i="10" s="1"/>
  <c r="Z74" i="10" s="1"/>
  <c r="AA74" i="10" s="1"/>
  <c r="AB74" i="10" s="1"/>
  <c r="C81" i="10"/>
  <c r="D81" i="10" s="1"/>
  <c r="E81" i="10" s="1"/>
  <c r="F81" i="10" s="1"/>
  <c r="G81" i="10" s="1"/>
  <c r="H81" i="10" s="1"/>
  <c r="I81" i="10" s="1"/>
  <c r="J81" i="10" s="1"/>
  <c r="K81" i="10" s="1"/>
  <c r="L81" i="10" s="1"/>
  <c r="M81" i="10" s="1"/>
  <c r="N81" i="10" s="1"/>
  <c r="O81" i="10" s="1"/>
  <c r="P81" i="10" s="1"/>
  <c r="Q81" i="10" s="1"/>
  <c r="R81" i="10" s="1"/>
  <c r="S81" i="10" s="1"/>
  <c r="T81" i="10" s="1"/>
  <c r="U81" i="10" s="1"/>
  <c r="V81" i="10" s="1"/>
  <c r="W81" i="10" s="1"/>
  <c r="X81" i="10" s="1"/>
  <c r="Y81" i="10" s="1"/>
  <c r="Z81" i="10" s="1"/>
  <c r="AA81" i="10" s="1"/>
  <c r="AB81" i="10" s="1"/>
  <c r="C131" i="10"/>
  <c r="D131" i="10" s="1"/>
  <c r="E131" i="10" s="1"/>
  <c r="F131" i="10" s="1"/>
  <c r="G131" i="10" s="1"/>
  <c r="H131" i="10" s="1"/>
  <c r="I131" i="10" s="1"/>
  <c r="J131" i="10" s="1"/>
  <c r="K131" i="10" s="1"/>
  <c r="L131" i="10" s="1"/>
  <c r="M131" i="10" s="1"/>
  <c r="N131" i="10" s="1"/>
  <c r="O131" i="10" s="1"/>
  <c r="P131" i="10" s="1"/>
  <c r="Q131" i="10" s="1"/>
  <c r="R131" i="10" s="1"/>
  <c r="S131" i="10" s="1"/>
  <c r="T131" i="10" s="1"/>
  <c r="U131" i="10" s="1"/>
  <c r="V131" i="10" s="1"/>
  <c r="W131" i="10" s="1"/>
  <c r="X131" i="10" s="1"/>
  <c r="Y131" i="10" s="1"/>
  <c r="Z131" i="10" s="1"/>
  <c r="AA131" i="10" s="1"/>
  <c r="AB131" i="10" s="1"/>
  <c r="C130" i="10"/>
  <c r="D130" i="10" s="1"/>
  <c r="E130" i="10" s="1"/>
  <c r="F130" i="10" s="1"/>
  <c r="G130" i="10" s="1"/>
  <c r="H130" i="10" s="1"/>
  <c r="I130" i="10" s="1"/>
  <c r="J130" i="10" s="1"/>
  <c r="K130" i="10" s="1"/>
  <c r="L130" i="10" s="1"/>
  <c r="M130" i="10" s="1"/>
  <c r="N130" i="10" s="1"/>
  <c r="O130" i="10" s="1"/>
  <c r="P130" i="10" s="1"/>
  <c r="Q130" i="10" s="1"/>
  <c r="R130" i="10" s="1"/>
  <c r="S130" i="10" s="1"/>
  <c r="T130" i="10" s="1"/>
  <c r="U130" i="10" s="1"/>
  <c r="V130" i="10" s="1"/>
  <c r="W130" i="10" s="1"/>
  <c r="X130" i="10" s="1"/>
  <c r="Y130" i="10" s="1"/>
  <c r="Z130" i="10" s="1"/>
  <c r="AA130" i="10" s="1"/>
  <c r="AB130" i="10" s="1"/>
  <c r="C132" i="10"/>
  <c r="D132" i="10" s="1"/>
  <c r="E132" i="10" s="1"/>
  <c r="F132" i="10" s="1"/>
  <c r="G132" i="10" s="1"/>
  <c r="H132" i="10" s="1"/>
  <c r="I132" i="10" s="1"/>
  <c r="J132" i="10" s="1"/>
  <c r="K132" i="10" s="1"/>
  <c r="L132" i="10" s="1"/>
  <c r="M132" i="10" s="1"/>
  <c r="N132" i="10" s="1"/>
  <c r="O132" i="10" s="1"/>
  <c r="P132" i="10" s="1"/>
  <c r="Q132" i="10" s="1"/>
  <c r="R132" i="10" s="1"/>
  <c r="S132" i="10" s="1"/>
  <c r="T132" i="10" s="1"/>
  <c r="U132" i="10" s="1"/>
  <c r="V132" i="10" s="1"/>
  <c r="W132" i="10" s="1"/>
  <c r="X132" i="10" s="1"/>
  <c r="Y132" i="10" s="1"/>
  <c r="Z132" i="10" s="1"/>
  <c r="AA132" i="10" s="1"/>
  <c r="AB132" i="10" s="1"/>
  <c r="C165" i="10"/>
  <c r="D165" i="10" s="1"/>
  <c r="E165" i="10" s="1"/>
  <c r="F165" i="10" s="1"/>
  <c r="G165" i="10" s="1"/>
  <c r="H165" i="10" s="1"/>
  <c r="I165" i="10" s="1"/>
  <c r="J165" i="10" s="1"/>
  <c r="K165" i="10" s="1"/>
  <c r="L165" i="10" s="1"/>
  <c r="M165" i="10" s="1"/>
  <c r="N165" i="10" s="1"/>
  <c r="O165" i="10" s="1"/>
  <c r="P165" i="10" s="1"/>
  <c r="Q165" i="10" s="1"/>
  <c r="R165" i="10" s="1"/>
  <c r="S165" i="10" s="1"/>
  <c r="T165" i="10" s="1"/>
  <c r="U165" i="10" s="1"/>
  <c r="V165" i="10" s="1"/>
  <c r="W165" i="10" s="1"/>
  <c r="X165" i="10" s="1"/>
  <c r="Y165" i="10" s="1"/>
  <c r="Z165" i="10" s="1"/>
  <c r="AA165" i="10" s="1"/>
  <c r="AB165" i="10" s="1"/>
  <c r="C121" i="10"/>
  <c r="D121" i="10" s="1"/>
  <c r="E121" i="10" s="1"/>
  <c r="F121" i="10" s="1"/>
  <c r="G121" i="10" s="1"/>
  <c r="H121" i="10" s="1"/>
  <c r="I121" i="10" s="1"/>
  <c r="J121" i="10" s="1"/>
  <c r="K121" i="10" s="1"/>
  <c r="L121" i="10" s="1"/>
  <c r="M121" i="10" s="1"/>
  <c r="N121" i="10" s="1"/>
  <c r="O121" i="10" s="1"/>
  <c r="P121" i="10" s="1"/>
  <c r="Q121" i="10" s="1"/>
  <c r="R121" i="10" s="1"/>
  <c r="S121" i="10" s="1"/>
  <c r="T121" i="10" s="1"/>
  <c r="U121" i="10" s="1"/>
  <c r="V121" i="10" s="1"/>
  <c r="W121" i="10" s="1"/>
  <c r="X121" i="10" s="1"/>
  <c r="Y121" i="10" s="1"/>
  <c r="Z121" i="10" s="1"/>
  <c r="AA121" i="10" s="1"/>
  <c r="AB121" i="10" s="1"/>
  <c r="C57" i="10" l="1"/>
  <c r="F9" i="9"/>
  <c r="E9" i="9"/>
  <c r="D173" i="10"/>
  <c r="D2" i="13" s="1"/>
  <c r="D62" i="10"/>
  <c r="C109" i="10"/>
  <c r="D161" i="10"/>
  <c r="G114" i="10"/>
  <c r="F161" i="10"/>
  <c r="F173" i="10" s="1"/>
  <c r="F2" i="13" s="1"/>
  <c r="E161" i="10"/>
  <c r="E173" i="10" s="1"/>
  <c r="E2" i="13" s="1"/>
  <c r="C172" i="10"/>
  <c r="C2" i="12" s="1"/>
  <c r="C171" i="10"/>
  <c r="C2" i="11" s="1"/>
  <c r="C173" i="10"/>
  <c r="C2" i="13" s="1"/>
  <c r="B172" i="10"/>
  <c r="B2" i="12" s="1"/>
  <c r="B173" i="10"/>
  <c r="B2" i="13" s="1"/>
  <c r="B171" i="10"/>
  <c r="B2" i="11" s="1"/>
  <c r="E57" i="10"/>
  <c r="E171" i="10" s="1"/>
  <c r="E2" i="11" s="1"/>
  <c r="F9" i="10"/>
  <c r="I113" i="10"/>
  <c r="C161" i="10"/>
  <c r="D57" i="10"/>
  <c r="D171" i="10" s="1"/>
  <c r="D2" i="11" s="1"/>
  <c r="F61" i="10"/>
  <c r="J113" i="10" l="1"/>
  <c r="H114" i="10"/>
  <c r="G161" i="10"/>
  <c r="G173" i="10" s="1"/>
  <c r="G2" i="13" s="1"/>
  <c r="G61" i="10"/>
  <c r="E62" i="10"/>
  <c r="D109" i="10"/>
  <c r="D172" i="10" s="1"/>
  <c r="D2" i="12" s="1"/>
  <c r="F57" i="10"/>
  <c r="F171" i="10" s="1"/>
  <c r="F2" i="11" s="1"/>
  <c r="G9" i="10"/>
  <c r="G57" i="10" l="1"/>
  <c r="G171" i="10" s="1"/>
  <c r="G2" i="11" s="1"/>
  <c r="H9" i="10"/>
  <c r="H61" i="10"/>
  <c r="F62" i="10"/>
  <c r="E109" i="10"/>
  <c r="E172" i="10" s="1"/>
  <c r="E2" i="12" s="1"/>
  <c r="I114" i="10"/>
  <c r="H161" i="10"/>
  <c r="H173" i="10" s="1"/>
  <c r="H2" i="13" s="1"/>
  <c r="K113" i="10"/>
  <c r="L113" i="10" l="1"/>
  <c r="G62" i="10"/>
  <c r="F109" i="10"/>
  <c r="F172" i="10" s="1"/>
  <c r="F2" i="12" s="1"/>
  <c r="I61" i="10"/>
  <c r="J114" i="10"/>
  <c r="I161" i="10"/>
  <c r="I173" i="10" s="1"/>
  <c r="I2" i="13" s="1"/>
  <c r="I9" i="10"/>
  <c r="H57" i="10"/>
  <c r="H171" i="10" s="1"/>
  <c r="H2" i="11" s="1"/>
  <c r="J61" i="10" l="1"/>
  <c r="M113" i="10"/>
  <c r="I57" i="10"/>
  <c r="I171" i="10" s="1"/>
  <c r="I2" i="11" s="1"/>
  <c r="J9" i="10"/>
  <c r="K114" i="10"/>
  <c r="J161" i="10"/>
  <c r="J173" i="10" s="1"/>
  <c r="J2" i="13" s="1"/>
  <c r="H62" i="10"/>
  <c r="G109" i="10"/>
  <c r="G172" i="10" s="1"/>
  <c r="G2" i="12" s="1"/>
  <c r="L114" i="10" l="1"/>
  <c r="K161" i="10"/>
  <c r="K173" i="10" s="1"/>
  <c r="K2" i="13" s="1"/>
  <c r="J57" i="10"/>
  <c r="J171" i="10" s="1"/>
  <c r="J2" i="11" s="1"/>
  <c r="K9" i="10"/>
  <c r="N113" i="10"/>
  <c r="I62" i="10"/>
  <c r="H109" i="10"/>
  <c r="H172" i="10" s="1"/>
  <c r="H2" i="12" s="1"/>
  <c r="K61" i="10"/>
  <c r="M114" i="10" l="1"/>
  <c r="L161" i="10"/>
  <c r="L173" i="10" s="1"/>
  <c r="L2" i="13" s="1"/>
  <c r="L61" i="10"/>
  <c r="O113" i="10"/>
  <c r="J62" i="10"/>
  <c r="I109" i="10"/>
  <c r="I172" i="10" s="1"/>
  <c r="I2" i="12" s="1"/>
  <c r="L9" i="10"/>
  <c r="K57" i="10"/>
  <c r="K171" i="10" s="1"/>
  <c r="K2" i="11" s="1"/>
  <c r="N114" i="10" l="1"/>
  <c r="M161" i="10"/>
  <c r="M173" i="10" s="1"/>
  <c r="M2" i="13" s="1"/>
  <c r="L57" i="10"/>
  <c r="L171" i="10" s="1"/>
  <c r="L2" i="11" s="1"/>
  <c r="M9" i="10"/>
  <c r="P113" i="10"/>
  <c r="K62" i="10"/>
  <c r="J109" i="10"/>
  <c r="J172" i="10" s="1"/>
  <c r="J2" i="12" s="1"/>
  <c r="M61" i="10"/>
  <c r="L62" i="10" l="1"/>
  <c r="K109" i="10"/>
  <c r="K172" i="10" s="1"/>
  <c r="K2" i="12" s="1"/>
  <c r="N61" i="10"/>
  <c r="Q113" i="10"/>
  <c r="N9" i="10"/>
  <c r="M57" i="10"/>
  <c r="M171" i="10" s="1"/>
  <c r="M2" i="11" s="1"/>
  <c r="O114" i="10"/>
  <c r="N161" i="10"/>
  <c r="N173" i="10" s="1"/>
  <c r="N2" i="13" s="1"/>
  <c r="M62" i="10" l="1"/>
  <c r="L109" i="10"/>
  <c r="L172" i="10" s="1"/>
  <c r="L2" i="12" s="1"/>
  <c r="N57" i="10"/>
  <c r="N171" i="10" s="1"/>
  <c r="N2" i="11" s="1"/>
  <c r="O9" i="10"/>
  <c r="P114" i="10"/>
  <c r="O161" i="10"/>
  <c r="O173" i="10" s="1"/>
  <c r="O2" i="13" s="1"/>
  <c r="O61" i="10"/>
  <c r="R113" i="10"/>
  <c r="P61" i="10" l="1"/>
  <c r="Q114" i="10"/>
  <c r="P161" i="10"/>
  <c r="P173" i="10" s="1"/>
  <c r="P2" i="13" s="1"/>
  <c r="O57" i="10"/>
  <c r="O171" i="10" s="1"/>
  <c r="O2" i="11" s="1"/>
  <c r="P9" i="10"/>
  <c r="S113" i="10"/>
  <c r="N62" i="10"/>
  <c r="M109" i="10"/>
  <c r="M172" i="10" s="1"/>
  <c r="M2" i="12" s="1"/>
  <c r="O62" i="10" l="1"/>
  <c r="N109" i="10"/>
  <c r="N172" i="10" s="1"/>
  <c r="N2" i="12" s="1"/>
  <c r="T113" i="10"/>
  <c r="P57" i="10"/>
  <c r="P171" i="10" s="1"/>
  <c r="P2" i="11" s="1"/>
  <c r="Q9" i="10"/>
  <c r="R114" i="10"/>
  <c r="Q161" i="10"/>
  <c r="Q173" i="10" s="1"/>
  <c r="Q2" i="13" s="1"/>
  <c r="Q61" i="10"/>
  <c r="R61" i="10" l="1"/>
  <c r="S114" i="10"/>
  <c r="R161" i="10"/>
  <c r="R173" i="10" s="1"/>
  <c r="R2" i="13" s="1"/>
  <c r="U113" i="10"/>
  <c r="R9" i="10"/>
  <c r="Q57" i="10"/>
  <c r="Q171" i="10" s="1"/>
  <c r="Q2" i="11" s="1"/>
  <c r="P62" i="10"/>
  <c r="O109" i="10"/>
  <c r="O172" i="10" s="1"/>
  <c r="O2" i="12" s="1"/>
  <c r="V113" i="10" l="1"/>
  <c r="S9" i="10"/>
  <c r="R57" i="10"/>
  <c r="R171" i="10" s="1"/>
  <c r="R2" i="11" s="1"/>
  <c r="Q62" i="10"/>
  <c r="P109" i="10"/>
  <c r="P172" i="10" s="1"/>
  <c r="P2" i="12" s="1"/>
  <c r="T114" i="10"/>
  <c r="S161" i="10"/>
  <c r="S173" i="10" s="1"/>
  <c r="S2" i="13" s="1"/>
  <c r="S61" i="10"/>
  <c r="T61" i="10" l="1"/>
  <c r="U114" i="10"/>
  <c r="T161" i="10"/>
  <c r="T173" i="10" s="1"/>
  <c r="T2" i="13" s="1"/>
  <c r="T9" i="10"/>
  <c r="S57" i="10"/>
  <c r="S171" i="10" s="1"/>
  <c r="S2" i="11" s="1"/>
  <c r="R62" i="10"/>
  <c r="Q109" i="10"/>
  <c r="Q172" i="10" s="1"/>
  <c r="Q2" i="12" s="1"/>
  <c r="W113" i="10"/>
  <c r="X113" i="10" l="1"/>
  <c r="T57" i="10"/>
  <c r="T171" i="10" s="1"/>
  <c r="T2" i="11" s="1"/>
  <c r="U9" i="10"/>
  <c r="V114" i="10"/>
  <c r="U161" i="10"/>
  <c r="U173" i="10" s="1"/>
  <c r="U2" i="13" s="1"/>
  <c r="S62" i="10"/>
  <c r="R109" i="10"/>
  <c r="R172" i="10" s="1"/>
  <c r="R2" i="12" s="1"/>
  <c r="U61" i="10"/>
  <c r="V61" i="10" l="1"/>
  <c r="W114" i="10"/>
  <c r="V161" i="10"/>
  <c r="V173" i="10" s="1"/>
  <c r="V2" i="13" s="1"/>
  <c r="Y113" i="10"/>
  <c r="T62" i="10"/>
  <c r="S109" i="10"/>
  <c r="S172" i="10" s="1"/>
  <c r="S2" i="12" s="1"/>
  <c r="V9" i="10"/>
  <c r="U57" i="10"/>
  <c r="U171" i="10" s="1"/>
  <c r="U2" i="11" s="1"/>
  <c r="U62" i="10" l="1"/>
  <c r="T109" i="10"/>
  <c r="T172" i="10" s="1"/>
  <c r="T2" i="12" s="1"/>
  <c r="Z113" i="10"/>
  <c r="X114" i="10"/>
  <c r="W161" i="10"/>
  <c r="W173" i="10" s="1"/>
  <c r="W2" i="13" s="1"/>
  <c r="V57" i="10"/>
  <c r="V171" i="10" s="1"/>
  <c r="V2" i="11" s="1"/>
  <c r="W9" i="10"/>
  <c r="W61" i="10"/>
  <c r="X9" i="10" l="1"/>
  <c r="W57" i="10"/>
  <c r="W171" i="10" s="1"/>
  <c r="W2" i="11" s="1"/>
  <c r="AA113" i="10"/>
  <c r="X61" i="10"/>
  <c r="Y114" i="10"/>
  <c r="X161" i="10"/>
  <c r="X173" i="10" s="1"/>
  <c r="X2" i="13" s="1"/>
  <c r="V62" i="10"/>
  <c r="U109" i="10"/>
  <c r="U172" i="10" s="1"/>
  <c r="U2" i="12" s="1"/>
  <c r="Z114" i="10" l="1"/>
  <c r="Y161" i="10"/>
  <c r="Y173" i="10" s="1"/>
  <c r="Y2" i="13" s="1"/>
  <c r="W62" i="10"/>
  <c r="V109" i="10"/>
  <c r="V172" i="10" s="1"/>
  <c r="V2" i="12" s="1"/>
  <c r="AB113" i="10"/>
  <c r="Y61" i="10"/>
  <c r="X57" i="10"/>
  <c r="X171" i="10" s="1"/>
  <c r="X2" i="11" s="1"/>
  <c r="Y9" i="10"/>
  <c r="Z61" i="10" l="1"/>
  <c r="X62" i="10"/>
  <c r="W109" i="10"/>
  <c r="W172" i="10" s="1"/>
  <c r="W2" i="12" s="1"/>
  <c r="Y57" i="10"/>
  <c r="Y171" i="10" s="1"/>
  <c r="Y2" i="11" s="1"/>
  <c r="Z9" i="10"/>
  <c r="AA114" i="10"/>
  <c r="Z161" i="10"/>
  <c r="Z173" i="10" s="1"/>
  <c r="Z2" i="13" s="1"/>
  <c r="AB114" i="10" l="1"/>
  <c r="AB161" i="10" s="1"/>
  <c r="AB173" i="10" s="1"/>
  <c r="AB2" i="13" s="1"/>
  <c r="AA161" i="10"/>
  <c r="AA173" i="10" s="1"/>
  <c r="AA2" i="13" s="1"/>
  <c r="Z57" i="10"/>
  <c r="Z171" i="10" s="1"/>
  <c r="Z2" i="11" s="1"/>
  <c r="AA9" i="10"/>
  <c r="Y62" i="10"/>
  <c r="X109" i="10"/>
  <c r="X172" i="10" s="1"/>
  <c r="X2" i="12" s="1"/>
  <c r="AA61" i="10"/>
  <c r="AB61" i="10" l="1"/>
  <c r="AA57" i="10"/>
  <c r="AA171" i="10" s="1"/>
  <c r="AA2" i="11" s="1"/>
  <c r="AB9" i="10"/>
  <c r="AB57" i="10" s="1"/>
  <c r="AB171" i="10" s="1"/>
  <c r="AB2" i="11" s="1"/>
  <c r="Z62" i="10"/>
  <c r="Y109" i="10"/>
  <c r="Y172" i="10" s="1"/>
  <c r="Y2" i="12" s="1"/>
  <c r="AA62" i="10" l="1"/>
  <c r="Z109" i="10"/>
  <c r="Z172" i="10" s="1"/>
  <c r="Z2" i="12" s="1"/>
  <c r="AB62" i="10" l="1"/>
  <c r="AB109" i="10" s="1"/>
  <c r="AB172" i="10" s="1"/>
  <c r="AB2" i="12" s="1"/>
  <c r="AA109" i="10"/>
  <c r="AA172" i="10" s="1"/>
  <c r="AA2" i="12" s="1"/>
</calcChain>
</file>

<file path=xl/sharedStrings.xml><?xml version="1.0" encoding="utf-8"?>
<sst xmlns="http://schemas.openxmlformats.org/spreadsheetml/2006/main" count="725" uniqueCount="267">
  <si>
    <t>Active state name:</t>
  </si>
  <si>
    <t>Iowa</t>
  </si>
  <si>
    <t>state_name</t>
  </si>
  <si>
    <t>state_abbr</t>
  </si>
  <si>
    <t>Active state code:</t>
  </si>
  <si>
    <t>Alabama</t>
  </si>
  <si>
    <t>AL</t>
  </si>
  <si>
    <t>Arizona</t>
  </si>
  <si>
    <t>AZ</t>
  </si>
  <si>
    <t>BDCL — BAU Data Center Load by state (MWh), 2024–2050</t>
  </si>
  <si>
    <t>Arkansas</t>
  </si>
  <si>
    <t>AR</t>
  </si>
  <si>
    <t>California</t>
  </si>
  <si>
    <t>CA</t>
  </si>
  <si>
    <t>Built: 2026-09-01  by outputs/BDCL/_build_bdcl_workbook.py</t>
  </si>
  <si>
    <t>Colorado</t>
  </si>
  <si>
    <t>CO</t>
  </si>
  <si>
    <t>Connecticut</t>
  </si>
  <si>
    <t>CT</t>
  </si>
  <si>
    <t>Delaware</t>
  </si>
  <si>
    <t>DE</t>
  </si>
  <si>
    <t>SOURCES</t>
  </si>
  <si>
    <t>Florida</t>
  </si>
  <si>
    <t>FL</t>
  </si>
  <si>
    <t>Trajectories (capacity + national energy):</t>
  </si>
  <si>
    <t>EPRI (February 2026), "Powering Intelligence 2026: Updated Scenarios of U.S. Data Center Electricity Use and Power Strategies," report 3002034696 (Blanford, Wilson, Bistline, Johnson). https://powering-intelligence.epri.com</t>
  </si>
  <si>
    <t>Georgia</t>
  </si>
  <si>
    <t>GA</t>
  </si>
  <si>
    <t>Table 2 staged verbatim: sources/raw/bdcl/epri_pi2026_state_capacity.csv -&gt; EPRI_PI2026 tab. National energy anchors: 184 TWh (2024, p.15; range 177-192) and 383/596/793 TWh (2030 L/M/H, p.17). Beyond-2030 method: fn.19 p.21. Estimates INCLUDE cryptocurrency mining.</t>
  </si>
  <si>
    <t>Idaho</t>
  </si>
  <si>
    <t>ID</t>
  </si>
  <si>
    <t>2023 DC magnitude (classification only):</t>
  </si>
  <si>
    <t>EPRI (May 2024), "Powering Intelligence: Analyzing Artificial Intelligence and Data Center Energy Consumption," report 3002028905 — per-state 2023 data-center load (MWh, % of state). https://www.epri.com/research/products/3002028905</t>
  </si>
  <si>
    <t>Illinois</t>
  </si>
  <si>
    <t>IL</t>
  </si>
  <si>
    <t>Sector classification sales data:</t>
  </si>
  <si>
    <t>EIA-861 Annual Electric Power Industry Report, Sales to Ultimate Customers, 2018 &amp; 2023 (Bundled + Energy service). https://www.eia.gov/electricity/data/eia861/ (staged: sources/raw/eia861/)</t>
  </si>
  <si>
    <t>Indiana</t>
  </si>
  <si>
    <t>IN</t>
  </si>
  <si>
    <t>Geography:</t>
  </si>
  <si>
    <t>config/geography/state_to_census_division.csv (48 contiguous states)</t>
  </si>
  <si>
    <t>IA</t>
  </si>
  <si>
    <t>Kansas</t>
  </si>
  <si>
    <t>KS</t>
  </si>
  <si>
    <t>OUTPUTS</t>
  </si>
  <si>
    <t>Kentucky</t>
  </si>
  <si>
    <t>KY</t>
  </si>
  <si>
    <t>BDCL-low / BDCL-mid / BDCL-high:</t>
  </si>
  <si>
    <t>active-state annual electricity (MWh) 2024-2050; the per-state EPS InputData BDCL CSVs are exported from these tabs.</t>
  </si>
  <si>
    <t>Louisiana</t>
  </si>
  <si>
    <t>LA</t>
  </si>
  <si>
    <t>Consumers:</t>
  </si>
  <si>
    <t>EPS BDCL input; start-year netting in BCEU commercial (Calcs STEP 7b) and BIFUbC industrial (STEP 12b-DC) via sources/raw/bdcl/bdcl_mid_by_state.csv (regenerate from the MED scenario after any change here).</t>
  </si>
  <si>
    <t>Maine</t>
  </si>
  <si>
    <t>ME</t>
  </si>
  <si>
    <t>Maryland</t>
  </si>
  <si>
    <t>MD</t>
  </si>
  <si>
    <t>Methodology: see the Methodology tab and docs/methodology/BDCL.md (§4b-ii).</t>
  </si>
  <si>
    <t>Massachusetts</t>
  </si>
  <si>
    <t>MA</t>
  </si>
  <si>
    <t>Scope: 48 contiguous states. West Virginia has no EPRI-reported data centers -&gt; 0.</t>
  </si>
  <si>
    <t>Michigan</t>
  </si>
  <si>
    <t>MI</t>
  </si>
  <si>
    <t>Status: inputs for staff review — verify against primary sources before external use.</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</si>
  <si>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</si>
  <si>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</si>
  <si>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</si>
  <si>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</si>
  <si>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</si>
  <si>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</si>
  <si>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</si>
  <si>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</si>
  <si>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</si>
  <si>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</si>
  <si>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</si>
  <si>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</si>
  <si>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</si>
  <si>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</si>
  <si>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</si>
  <si>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</si>
  <si>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</si>
  <si>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</si>
  <si>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</si>
  <si>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</si>
  <si>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</si>
  <si>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</si>
  <si>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</si>
  <si>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</si>
  <si>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</si>
  <si>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</si>
  <si>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</si>
  <si>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</si>
  <si>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</si>
  <si>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</si>
  <si>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</si>
  <si>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</si>
  <si>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</si>
  <si>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</si>
  <si>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</si>
  <si>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</si>
  <si>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</si>
  <si>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</si>
  <si>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</si>
  <si>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</si>
  <si>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</si>
  <si>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</si>
  <si>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</si>
  <si>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</si>
  <si>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</si>
  <si>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</si>
  <si>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</si>
  <si>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</si>
  <si>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</si>
  <si>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</si>
  <si>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</si>
  <si>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</si>
  <si>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</si>
  <si>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</si>
  <si>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</si>
  <si>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</si>
  <si>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Methodology</t>
  </si>
  <si>
    <t>BDCL = business-as-usual data-center electricity load by state and year (MWh), 2024-2050, three scenarios.</t>
  </si>
  <si>
    <t>1. SINGLE 2024 BASE (staff decision 2026-07-31). 2024 is historical: all three scenarios share the EPRI</t>
  </si>
  <si>
    <t xml:space="preserve">   PI-2026 Medium 2024 state capacity (Table 2). The published 2024 Low/High columns reflect variation</t>
  </si>
  <si>
    <t xml:space="preserve">   across EPRI's data sources, not scenario divergence; they are retained on the raw tab but unused.</t>
  </si>
  <si>
    <t xml:space="preserve">   Scenarios diverge from 2025 toward their published 2030 endpoints.</t>
  </si>
  <si>
    <t>2. CAPACITY PATHS (Calcs STEP 2). Per state and scenario: geometric interpolation from the shared 2024</t>
  </si>
  <si>
    <t xml:space="preserve">   base to the scenario 2030 endpoint; the implied 2025-2030 annual growth rate then declines by the</t>
  </si>
  <si>
    <t xml:space="preserve">   Keys decay factor (4) each subsequent 5-year period through 2050 — EPRI's own extension (fn.19 p.21).</t>
  </si>
  <si>
    <t>3. NATIONAL ENERGY (Calcs STEP 3). Anchored at 184e6 MWh in 2024 (all scenarios) and the published</t>
  </si>
  <si>
    <t xml:space="preserve">   383/596/793e6 MWh in 2030 (L/M/H); interpolated and extended by the same method. EPRI's energy</t>
  </si>
  <si>
    <t xml:space="preserve">   estimates embed their PUE (1.32 in 2024, declining), 20%/yr capacity ramp, and observed load factors.</t>
  </si>
  <si>
    <t>4. STATE ENERGY (Calcs STEP 4) = national energy x the state's share of national nominal capacity that</t>
  </si>
  <si>
    <t xml:space="preserve">   year. KNOWN BIAS: capacity share ignores ramp maturity, so mature markets read slightly low in early</t>
  </si>
  <si>
    <t xml:space="preserve">   years (VA 2024: 29.5 TWh here vs 33.9 in the EPRI-2023 direct-energy data, ~23% vs "&gt;25%" of state</t>
  </si>
  <si>
    <t xml:space="preserve">   sales) and fast-growing ones slightly high. Accepted for v1; revisit at the SEDS-2025 re-anchor.</t>
  </si>
  <si>
    <t>5. SECTOR CLASSIFICATION (DC_classification tab). Utilities book data centers to commercial (VA-style)</t>
  </si>
  <si>
    <t xml:space="preserve">   or industrial (IA-style) rate classes; the netting in BCEU/BIFUbC routes on this table. A state is</t>
  </si>
  <si>
    <t xml:space="preserve">   industrial only where DC is material (&gt;=5% of state or &gt;=1,000 GWh, 2023) AND industrial 2018-2023</t>
  </si>
  <si>
    <t xml:space="preserve">   sales growth decisively exceeds commercial (&gt;1.3x). Thresholds are tunable yellow cells.</t>
  </si>
  <si>
    <t>CAVEATS: EPRI capacity includes cryptocurrency mining (material in TX). West Virginia is absent from</t>
  </si>
  <si>
    <t>Table 2 (-&gt; 0). The printed 2023 column of Table 2 is internally inconsistent in the source PDF (state</t>
  </si>
  <si>
    <t>cells sum 24,881 MW vs printed total 25,547) — 2023 is not a calculation input. Post-2030 is "highly</t>
  </si>
  <si>
    <t>uncertain" per EPRI; emerging states (IN, LA, MS) carry large extrapolated momentum. All values are</t>
  </si>
  <si>
    <t>inputs for staff review; verify against the primary sources cited on About before external use.</t>
  </si>
  <si>
    <t>category</t>
  </si>
  <si>
    <t>key</t>
  </si>
  <si>
    <t>value</t>
  </si>
  <si>
    <t>description</t>
  </si>
  <si>
    <t>energy</t>
  </si>
  <si>
    <t>e2024_mwh</t>
  </si>
  <si>
    <t>National DC energy 2024, ALL scenarios (EPRI PI-2026 p.15; central of 177-192 TWh)</t>
  </si>
  <si>
    <t>e2030_low_mwh</t>
  </si>
  <si>
    <t>National DC energy 2030, Low (published, p.17)</t>
  </si>
  <si>
    <t>e2030_med_mwh</t>
  </si>
  <si>
    <t>National DC energy 2030, Medium (published, p.17)</t>
  </si>
  <si>
    <t>e2030_high_mwh</t>
  </si>
  <si>
    <t>National DC energy 2030, High (published, p.17)</t>
  </si>
  <si>
    <t>method</t>
  </si>
  <si>
    <t>interp_end_year</t>
  </si>
  <si>
    <t>Last year of the published-endpoint interpolation window (2024-&gt;2030)</t>
  </si>
  <si>
    <t>decay_factor</t>
  </si>
  <si>
    <t>EPRI fn.19: annual growth rate divides by this each period after interp_end_year</t>
  </si>
  <si>
    <t>decay_period_years</t>
  </si>
  <si>
    <t>Length of each post-2030 decay period (years)</t>
  </si>
  <si>
    <t>class</t>
  </si>
  <si>
    <t>decisiveness_ratio</t>
  </si>
  <si>
    <t>DC_classification: industrial growth must exceed this x commercial growth</t>
  </si>
  <si>
    <t>materiality_gate_pct</t>
  </si>
  <si>
    <t>DC_classification: DC materiality gate, share of state electricity (2023)</t>
  </si>
  <si>
    <t>materiality_gate_gwh</t>
  </si>
  <si>
    <t>DC_classification: DC materiality gate, absolute (GWh, 2023)</t>
  </si>
  <si>
    <t>state</t>
  </si>
  <si>
    <t>cap_2021_mw</t>
  </si>
  <si>
    <t>cap_2022_mw</t>
  </si>
  <si>
    <t>cap_2023_mw</t>
  </si>
  <si>
    <t>cap_2024_low_mw</t>
  </si>
  <si>
    <t>cap_2024_med_mw</t>
  </si>
  <si>
    <t>cap_2024_high_mw</t>
  </si>
  <si>
    <t>cap_2030_low_mw</t>
  </si>
  <si>
    <t>cap_2030_med_mw</t>
  </si>
  <si>
    <t>cap_2030_high_mw</t>
  </si>
  <si>
    <t>AK</t>
  </si>
  <si>
    <t>HI</t>
  </si>
  <si>
    <t>US_TOTAL</t>
  </si>
  <si>
    <t>Source: EPRI (February 2026), "Powering Intelligence 2026: Updated Scenarios of U.S. Data Center Electricity Use and Power Strategies," report 3002034696 (Blanford, Wilson, Bistline, Johnson). https://powering-intelligence.epri.com — Table 2, state nominal IT capacity (MW), verbatim; includes small- and large-scale DC and cryptocurrency mining. Transcription notes: IA 2024-High prints "1.866" in the PDF (= 1,866; confirmed by the column sum matching the printed U.S. total exactly); the printed 2023 column is internally inconsistent in the PDF (state cells sum 24,881 vs printed total 25,547; 2021/2022 match exactly) — 2023 is historical context only, not a calculation input. The 2024 LOW/HIGH columns reflect variation across EPRI's data sources and are NOT calculation inputs (single 2024 base = MEDIUM column; see Methodology).</t>
  </si>
  <si>
    <t>dc_mwh_2023</t>
  </si>
  <si>
    <t>dc_pct_2023</t>
  </si>
  <si>
    <t>Hawaii</t>
  </si>
  <si>
    <t>Source: EPRI (May 2024), "Powering Intelligence: Analyzing Artificial Intelligence and Data Center Energy Consumption," report 3002028905 — per-state 2023 data-center load (MWh, % of state). https://www.epri.com/research/products/3002028905 — verbatim from sources/raw/bdcl/epri_dc_by_state_2023.csv. Used ONLY by DC_classification (2023 materiality) and as the historical reference the pre-2026-07-31 BDCL levels were built on. States absent (AR, DE, MS, VT, WV) have no EPRI-reported DC load.</t>
  </si>
  <si>
    <t>EIA-861 Annual Electric Power Industry Report, Sales to Ultimate Customers, 2018 &amp; 2023 (Bundled + Energy service). https://www.eia.gov/electricity/data/eia861/ (staged: sources/raw/eia861/) — MWh aggregated to GWh by state and sector.</t>
  </si>
  <si>
    <t>comm_2018_GWh</t>
  </si>
  <si>
    <t>comm_2023_GWh</t>
  </si>
  <si>
    <t>ind_2018_GWh</t>
  </si>
  <si>
    <t>ind_2023_GWh</t>
  </si>
  <si>
    <t>Data-center sector classification (commercial vs industrial), by state</t>
  </si>
  <si>
    <t>Data centers are booked to whichever customer class the SERVING UTILITY uses, so SEDS/EIA-861 places DC load in COMMERCIAL (e.g. VA) or INDUSTRIAL (e.g. IA) depending on the state. This table classifies each state so the DC demand adjustment is routed to the matching sector. Rule (thresholds on Keys): INDUSTRIAL only where DC load is material (&gt;= materiality gates, 2023) AND 2018-2023 industrial retail-sales growth is decisively larger (&gt; decisiveness_ratio x) than commercial; every other state is COMMERCIAL (the EIA/CBECS default). The confidence column flags weak growth signals for manual review. Growth cannot isolate DC in restructured / declining-demand states (CA, IL, NY, NJ) or where non-DC industrial growth dominates (TX petrochem); verify those against utility customer-class filings. Inputs for staff review.</t>
  </si>
  <si>
    <t>DC_GWh_2023</t>
  </si>
  <si>
    <t>DC_%_of_state</t>
  </si>
  <si>
    <t>comm_growth_18-23_GWh</t>
  </si>
  <si>
    <t>ind_growth_18-23_GWh</t>
  </si>
  <si>
    <t>classification</t>
  </si>
  <si>
    <t>confidence</t>
  </si>
  <si>
    <t>Policy</t>
  </si>
  <si>
    <t>State</t>
  </si>
  <si>
    <t>Year Enacted</t>
  </si>
  <si>
    <t>Updated policy notes</t>
  </si>
  <si>
    <t>Data Center Growth Limitation</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</si>
  <si>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</si>
  <si>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</si>
  <si>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</si>
  <si>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</si>
  <si>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</si>
  <si>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</si>
  <si>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</si>
  <si>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</si>
  <si>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</si>
  <si>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</si>
  <si>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</si>
  <si>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</si>
  <si>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</si>
  <si>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</si>
  <si>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Data Center Bans and Moratoriums</t>
  </si>
  <si>
    <t>Data center state permit moratorium for maximum 1 year following executive order. Data centers are operational ~2 years post permit -&gt; data center growth = 0 for the year 2028</t>
  </si>
  <si>
    <t>0% 2028</t>
  </si>
  <si>
    <t>enacted</t>
  </si>
  <si>
    <t>Executive Order No. 62 establishes a one-year statewide moratorium on discretionary permits for new hyperscale data centers while the state develops environmental review standards (a Generic Environmental Impact Statement) and a Community Investment Framework.</t>
  </si>
  <si>
    <t>Buildings &amp; Efficiency</t>
  </si>
  <si>
    <t>https://www.governor.ny.gov/news/first-statewide-moratorium-new-hyperscale-data-centers-launched-governor-kathy-hochul</t>
  </si>
  <si>
    <t>Executive Order No. 62: Temporary Moratorium on New Hyperscale Data Centers</t>
  </si>
  <si>
    <t>BDCL</t>
  </si>
  <si>
    <t>BAU Data Center Load</t>
  </si>
  <si>
    <t>Not tracked by CXC</t>
  </si>
  <si>
    <t>Y</t>
  </si>
  <si>
    <t>N</t>
  </si>
  <si>
    <t>possible action, new policy type</t>
  </si>
  <si>
    <t>Policy Growth Rate</t>
  </si>
  <si>
    <t>Growth Rate 1</t>
  </si>
  <si>
    <t>Value 1</t>
  </si>
  <si>
    <t>Year 1</t>
  </si>
  <si>
    <t>Growth Rate 2</t>
  </si>
  <si>
    <t>Value 2</t>
  </si>
  <si>
    <t>Year 2</t>
  </si>
  <si>
    <t>Calcs — every value traces to EPRI_PI2026 / Keys by cell reference. Grid rows cover all 48 states (WV resolves to 0 via IFERROR: no EPRI Table 2 row).</t>
  </si>
  <si>
    <t>STEP 1 — Active state</t>
  </si>
  <si>
    <t>name:</t>
  </si>
  <si>
    <t>code:</t>
  </si>
  <si>
    <t>STEP 2L — LOW capacity path (MW): single 2024 base (raw col F = 2024 MEDIUM) -&gt; scenario 2030 endpoint (raw col H), geometric; then growth / decay_factor per decay_period after interp_end (Keys).</t>
  </si>
  <si>
    <t>state \ year</t>
  </si>
  <si>
    <t>g (2025-30 annual)</t>
  </si>
  <si>
    <t>LOW SUM (48 states)</t>
  </si>
  <si>
    <t>STEP 2M — MED capacity path (MW): single 2024 base (raw col F = 2024 MEDIUM) -&gt; scenario 2030 endpoint (raw col I), geometric; then growth / decay_factor per decay_period after interp_end (Keys).</t>
  </si>
  <si>
    <t>MED SUM (48 states)</t>
  </si>
  <si>
    <t>STEP 2H — HIGH capacity path (MW): single 2024 base (raw col F = 2024 MEDIUM) -&gt; scenario 2030 endpoint (raw col J), geometric; then growth / decay_factor per decay_period after interp_end (Keys).</t>
  </si>
  <si>
    <t>HIGH SUM (48 states)</t>
  </si>
  <si>
    <t>STEP 3 — National energy (MWh): Keys anchors (2024 + published 2030), geometric to 2030, then the same decay.</t>
  </si>
  <si>
    <t>scenario \ year</t>
  </si>
  <si>
    <t>LOW national energy (MWh)</t>
  </si>
  <si>
    <t>MED national energy (MWh)</t>
  </si>
  <si>
    <t>HIGH national energy (MWh)</t>
  </si>
  <si>
    <t>STEP 4 — ACTIVE STATE energy (MWh) = national energy x active state capacity share. These rows feed the BDCL-low/mid/high output tabs.</t>
  </si>
  <si>
    <t>LOW — active state (MWh)</t>
  </si>
  <si>
    <t>MED — active state (MWh)</t>
  </si>
  <si>
    <t>HIGH — active state (MWh)</t>
  </si>
  <si>
    <t>Year</t>
  </si>
  <si>
    <t>electricity (MWh)</t>
  </si>
  <si>
    <t>Active state = About!B1. EPS InputData format: Year header + electricity (MWh)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</si>
</sst>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i/>
      <sz val="11"/>
      <color rgb="FF666666"/>
      <name val="Calibri"/>
    </font>
    <font>
      <b/>
      <sz val="13"/>
      <name val="Calibri"/>
    </font>
    <font>
      <sz val="11"/>
      <name val="Calibri"/>
    </font>
  </fonts>
  <fills count="5">
    <fill>
      <patternFill patternType="none"/>
    </fill>
    <fill>
      <patternFill patternType="gray125"/>
    </fill>
    <fill>
      <patternFill patternType="solid">
        <fgColor rgb="FFFFF2CC"/>
      </patternFill>
    </fill>
    <fill>
      <patternFill patternType="solid">
        <fgColor rgb="FFDEEBF7"/>
      </patternFill>
    </fill>
    <fill>
      <patternFill patternType="solid">
        <fgColor rgb="FFDEEBF7"/>
        <bgColor rgb="FFDEEBF7"/>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2" borderId="0" xfId="0" applyFill="1"/>
    <xf numFmtId="0" fontId="2" fillId="0" borderId="0" xfId="0" applyFont="1"/>
    <xf numFmtId="0" fontId="3" fillId="0" borderId="0" xfId="0" applyFont="1"/>
    <xf numFmtId="0" fontId="0" fillId="0" borderId="0" xfId="0" applyAlignment="1">
      <alignment vertical="top" wrapText="1"/>
    </xf>
    <xf numFmtId="0" fontId="4" fillId="0" borderId="0" xfId="0" applyFont="1"/>
    <xf numFmtId="0" fontId="1" fillId="3" borderId="0" xfId="0" applyFont="1" applyFill="1"/>
    <xf numFmtId="0" fontId="1" fillId="4" borderId="0" xfId="0" applyFont="1" applyFill="1"/>
    <xf numFmtId="0" fontId="2" fillId="0" borderId="0" xfId="0" applyFont="1" applyAlignment="1">
      <alignment vertical="top" wrapText="1"/>
    </xf>
    <xf numFmtId="0" fontId="0" fillId="0" borderId="0" xfId="0"/>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
  <sheetViews>
    <sheetView tabSelected="1" workbookViewId="0"/>
  </sheetViews>
  <sheetFormatPr defaultRowHeight="14.25" x14ac:dyDescent="0.45"/>
  <cols>
    <col min="1" max="1" width="44" customWidth="1"/>
    <col min="2" max="2" width="110" customWidth="1"/>
    <col min="6" max="6" width="18" customWidth="1"/>
  </cols>
  <sheetData>
    <row r="1" spans="1:7" x14ac:dyDescent="0.45">
      <c r="A1" s="1" t="s">
        <v>0</v>
      </c>
      <c r="B1" s="2" t="s">
        <v>22</v>
      </c>
      <c r="C1" s="11">
        <v>46266</v>
      </c>
      <c r="F1" s="1" t="s">
        <v>2</v>
      </c>
      <c r="G1" s="1" t="s">
        <v>3</v>
      </c>
    </row>
    <row r="2" spans="1:7" x14ac:dyDescent="0.45">
      <c r="A2" s="1" t="s">
        <v>4</v>
      </c>
      <c r="B2" t="str">
        <f>INDEX($G$2:$G$49,MATCH($B$1,$F$2:$F$49,0))</f>
        <v>FL</v>
      </c>
      <c r="F2" t="s">
        <v>5</v>
      </c>
      <c r="G2" t="s">
        <v>6</v>
      </c>
    </row>
    <row r="3" spans="1:7" x14ac:dyDescent="0.45">
      <c r="F3" t="s">
        <v>7</v>
      </c>
      <c r="G3" t="s">
        <v>8</v>
      </c>
    </row>
    <row r="4" spans="1:7" ht="16.899999999999999" x14ac:dyDescent="0.5">
      <c r="A4" s="4" t="s">
        <v>9</v>
      </c>
      <c r="F4" t="s">
        <v>10</v>
      </c>
      <c r="G4" t="s">
        <v>11</v>
      </c>
    </row>
    <row r="5" spans="1:7" x14ac:dyDescent="0.45">
      <c r="F5" t="s">
        <v>12</v>
      </c>
      <c r="G5" t="s">
        <v>13</v>
      </c>
    </row>
    <row r="6" spans="1:7" x14ac:dyDescent="0.45">
      <c r="A6" s="3" t="s">
        <v>14</v>
      </c>
      <c r="F6" t="s">
        <v>15</v>
      </c>
      <c r="G6" t="s">
        <v>16</v>
      </c>
    </row>
    <row r="7" spans="1:7" x14ac:dyDescent="0.45">
      <c r="F7" t="s">
        <v>17</v>
      </c>
      <c r="G7" t="s">
        <v>18</v>
      </c>
    </row>
    <row r="8" spans="1:7" x14ac:dyDescent="0.45">
      <c r="F8" t="s">
        <v>19</v>
      </c>
      <c r="G8" t="s">
        <v>20</v>
      </c>
    </row>
    <row r="9" spans="1:7" x14ac:dyDescent="0.45">
      <c r="A9" s="1" t="s">
        <v>21</v>
      </c>
      <c r="F9" t="s">
        <v>22</v>
      </c>
      <c r="G9" t="s">
        <v>23</v>
      </c>
    </row>
    <row r="10" spans="1:7" ht="28.5" x14ac:dyDescent="0.45">
      <c r="A10" s="1" t="s">
        <v>24</v>
      </c>
      <c r="B10" s="5" t="s">
        <v>25</v>
      </c>
      <c r="F10" t="s">
        <v>26</v>
      </c>
      <c r="G10" t="s">
        <v>27</v>
      </c>
    </row>
    <row r="11" spans="1:7" ht="42.75" x14ac:dyDescent="0.45">
      <c r="B11" s="5" t="s">
        <v>28</v>
      </c>
      <c r="F11" t="s">
        <v>29</v>
      </c>
      <c r="G11" t="s">
        <v>30</v>
      </c>
    </row>
    <row r="12" spans="1:7" ht="28.5" x14ac:dyDescent="0.45">
      <c r="A12" s="1" t="s">
        <v>31</v>
      </c>
      <c r="B12" s="5" t="s">
        <v>32</v>
      </c>
      <c r="F12" t="s">
        <v>33</v>
      </c>
      <c r="G12" t="s">
        <v>34</v>
      </c>
    </row>
    <row r="13" spans="1:7" ht="28.5" x14ac:dyDescent="0.45">
      <c r="A13" s="1" t="s">
        <v>35</v>
      </c>
      <c r="B13" s="5" t="s">
        <v>36</v>
      </c>
      <c r="F13" t="s">
        <v>37</v>
      </c>
      <c r="G13" t="s">
        <v>38</v>
      </c>
    </row>
    <row r="14" spans="1:7" x14ac:dyDescent="0.45">
      <c r="A14" s="1" t="s">
        <v>39</v>
      </c>
      <c r="B14" s="5" t="s">
        <v>40</v>
      </c>
      <c r="F14" t="s">
        <v>1</v>
      </c>
      <c r="G14" t="s">
        <v>41</v>
      </c>
    </row>
    <row r="15" spans="1:7" x14ac:dyDescent="0.45">
      <c r="F15" t="s">
        <v>42</v>
      </c>
      <c r="G15" t="s">
        <v>43</v>
      </c>
    </row>
    <row r="16" spans="1:7" x14ac:dyDescent="0.45">
      <c r="A16" s="1" t="s">
        <v>44</v>
      </c>
      <c r="F16" t="s">
        <v>45</v>
      </c>
      <c r="G16" t="s">
        <v>46</v>
      </c>
    </row>
    <row r="17" spans="1:7" x14ac:dyDescent="0.45">
      <c r="A17" s="1" t="s">
        <v>47</v>
      </c>
      <c r="B17" s="5" t="s">
        <v>48</v>
      </c>
      <c r="F17" t="s">
        <v>49</v>
      </c>
      <c r="G17" t="s">
        <v>50</v>
      </c>
    </row>
    <row r="18" spans="1:7" ht="28.5" x14ac:dyDescent="0.45">
      <c r="A18" s="1" t="s">
        <v>51</v>
      </c>
      <c r="B18" s="5" t="s">
        <v>52</v>
      </c>
      <c r="F18" t="s">
        <v>53</v>
      </c>
      <c r="G18" t="s">
        <v>54</v>
      </c>
    </row>
    <row r="19" spans="1:7" x14ac:dyDescent="0.45">
      <c r="F19" t="s">
        <v>55</v>
      </c>
      <c r="G19" t="s">
        <v>56</v>
      </c>
    </row>
    <row r="20" spans="1:7" x14ac:dyDescent="0.45">
      <c r="A20" s="6" t="s">
        <v>57</v>
      </c>
      <c r="F20" t="s">
        <v>58</v>
      </c>
      <c r="G20" t="s">
        <v>59</v>
      </c>
    </row>
    <row r="21" spans="1:7" x14ac:dyDescent="0.45">
      <c r="A21" s="6" t="s">
        <v>60</v>
      </c>
      <c r="F21" t="s">
        <v>61</v>
      </c>
      <c r="G21" t="s">
        <v>62</v>
      </c>
    </row>
    <row r="22" spans="1:7" x14ac:dyDescent="0.45">
      <c r="A22" s="6" t="s">
        <v>63</v>
      </c>
      <c r="F22" t="s">
        <v>64</v>
      </c>
      <c r="G22" t="s">
        <v>65</v>
      </c>
    </row>
    <row r="23" spans="1:7" x14ac:dyDescent="0.45">
      <c r="F23" t="s">
        <v>66</v>
      </c>
      <c r="G23" t="s">
        <v>67</v>
      </c>
    </row>
    <row r="24" spans="1:7" x14ac:dyDescent="0.45">
      <c r="F24" t="s">
        <v>68</v>
      </c>
      <c r="G24" t="s">
        <v>69</v>
      </c>
    </row>
    <row r="25" spans="1:7" x14ac:dyDescent="0.45">
      <c r="F25" t="s">
        <v>70</v>
      </c>
      <c r="G25" t="s">
        <v>71</v>
      </c>
    </row>
    <row r="26" spans="1:7" x14ac:dyDescent="0.45">
      <c r="F26" t="s">
        <v>72</v>
      </c>
      <c r="G26" t="s">
        <v>73</v>
      </c>
    </row>
    <row r="27" spans="1:7" x14ac:dyDescent="0.45">
      <c r="F27" t="s">
        <v>74</v>
      </c>
      <c r="G27" t="s">
        <v>75</v>
      </c>
    </row>
    <row r="28" spans="1:7" x14ac:dyDescent="0.45">
      <c r="F28" t="s">
        <v>76</v>
      </c>
      <c r="G28" t="s">
        <v>77</v>
      </c>
    </row>
    <row r="29" spans="1:7" x14ac:dyDescent="0.45">
      <c r="F29" t="s">
        <v>78</v>
      </c>
      <c r="G29" t="s">
        <v>79</v>
      </c>
    </row>
    <row r="30" spans="1:7" x14ac:dyDescent="0.45">
      <c r="F30" t="s">
        <v>80</v>
      </c>
      <c r="G30" t="s">
        <v>81</v>
      </c>
    </row>
    <row r="31" spans="1:7" x14ac:dyDescent="0.45">
      <c r="F31" t="s">
        <v>82</v>
      </c>
      <c r="G31" t="s">
        <v>83</v>
      </c>
    </row>
    <row r="32" spans="1:7" x14ac:dyDescent="0.45">
      <c r="F32" t="s">
        <v>84</v>
      </c>
      <c r="G32" t="s">
        <v>85</v>
      </c>
    </row>
    <row r="33" spans="6:7" x14ac:dyDescent="0.45">
      <c r="F33" t="s">
        <v>86</v>
      </c>
      <c r="G33" t="s">
        <v>87</v>
      </c>
    </row>
    <row r="34" spans="6:7" x14ac:dyDescent="0.45">
      <c r="F34" t="s">
        <v>88</v>
      </c>
      <c r="G34" t="s">
        <v>89</v>
      </c>
    </row>
    <row r="35" spans="6:7" x14ac:dyDescent="0.45">
      <c r="F35" t="s">
        <v>90</v>
      </c>
      <c r="G35" t="s">
        <v>91</v>
      </c>
    </row>
    <row r="36" spans="6:7" x14ac:dyDescent="0.45">
      <c r="F36" t="s">
        <v>92</v>
      </c>
      <c r="G36" t="s">
        <v>93</v>
      </c>
    </row>
    <row r="37" spans="6:7" x14ac:dyDescent="0.45">
      <c r="F37" t="s">
        <v>94</v>
      </c>
      <c r="G37" t="s">
        <v>95</v>
      </c>
    </row>
    <row r="38" spans="6:7" x14ac:dyDescent="0.45">
      <c r="F38" t="s">
        <v>96</v>
      </c>
      <c r="G38" t="s">
        <v>97</v>
      </c>
    </row>
    <row r="39" spans="6:7" x14ac:dyDescent="0.45">
      <c r="F39" t="s">
        <v>98</v>
      </c>
      <c r="G39" t="s">
        <v>99</v>
      </c>
    </row>
    <row r="40" spans="6:7" x14ac:dyDescent="0.45">
      <c r="F40" t="s">
        <v>100</v>
      </c>
      <c r="G40" t="s">
        <v>101</v>
      </c>
    </row>
    <row r="41" spans="6:7" x14ac:dyDescent="0.45">
      <c r="F41" t="s">
        <v>102</v>
      </c>
      <c r="G41" t="s">
        <v>103</v>
      </c>
    </row>
    <row r="42" spans="6:7" x14ac:dyDescent="0.45">
      <c r="F42" t="s">
        <v>104</v>
      </c>
      <c r="G42" t="s">
        <v>105</v>
      </c>
    </row>
    <row r="43" spans="6:7" x14ac:dyDescent="0.45">
      <c r="F43" t="s">
        <v>106</v>
      </c>
      <c r="G43" t="s">
        <v>107</v>
      </c>
    </row>
    <row r="44" spans="6:7" x14ac:dyDescent="0.45">
      <c r="F44" t="s">
        <v>108</v>
      </c>
      <c r="G44" t="s">
        <v>109</v>
      </c>
    </row>
    <row r="45" spans="6:7" x14ac:dyDescent="0.45">
      <c r="F45" t="s">
        <v>110</v>
      </c>
      <c r="G45" t="s">
        <v>111</v>
      </c>
    </row>
    <row r="46" spans="6:7" x14ac:dyDescent="0.45">
      <c r="F46" t="s">
        <v>112</v>
      </c>
      <c r="G46" t="s">
        <v>113</v>
      </c>
    </row>
    <row r="47" spans="6:7" x14ac:dyDescent="0.45">
      <c r="F47" t="s">
        <v>114</v>
      </c>
      <c r="G47" t="s">
        <v>115</v>
      </c>
    </row>
    <row r="48" spans="6:7" x14ac:dyDescent="0.45">
      <c r="F48" t="s">
        <v>116</v>
      </c>
      <c r="G48" t="s">
        <v>117</v>
      </c>
    </row>
    <row r="49" spans="6:7" x14ac:dyDescent="0.45">
      <c r="F49" t="s">
        <v>118</v>
      </c>
      <c r="G49" t="s">
        <v>119</v>
      </c>
    </row>
  </sheetData>
  <dataValidations count="1">
    <dataValidation type="list" sqref="B1" xr:uid="{00000000-0002-0000-0000-000000000000}">
      <formula1>$F$2:$F$49</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defaultRowHeight="14.25" x14ac:dyDescent="0.45"/>
  <cols>
    <col min="1" max="1" width="118" customWidth="1"/>
  </cols>
  <sheetData>
    <row r="1" spans="1:1" ht="16.899999999999999" x14ac:dyDescent="0.5">
      <c r="A1" s="4" t="s">
        <v>120</v>
      </c>
    </row>
    <row r="3" spans="1:1" x14ac:dyDescent="0.45">
      <c r="A3" t="s">
        <v>121</v>
      </c>
    </row>
    <row r="5" spans="1:1" x14ac:dyDescent="0.45">
      <c r="A5" t="s">
        <v>122</v>
      </c>
    </row>
    <row r="6" spans="1:1" x14ac:dyDescent="0.45">
      <c r="A6" t="s">
        <v>123</v>
      </c>
    </row>
    <row r="7" spans="1:1" x14ac:dyDescent="0.45">
      <c r="A7" t="s">
        <v>124</v>
      </c>
    </row>
    <row r="8" spans="1:1" x14ac:dyDescent="0.45">
      <c r="A8" t="s">
        <v>125</v>
      </c>
    </row>
    <row r="9" spans="1:1" x14ac:dyDescent="0.45">
      <c r="A9" t="s">
        <v>126</v>
      </c>
    </row>
    <row r="10" spans="1:1" x14ac:dyDescent="0.45">
      <c r="A10" t="s">
        <v>127</v>
      </c>
    </row>
    <row r="11" spans="1:1" x14ac:dyDescent="0.45">
      <c r="A11" t="s">
        <v>128</v>
      </c>
    </row>
    <row r="12" spans="1:1" x14ac:dyDescent="0.45">
      <c r="A12" t="s">
        <v>129</v>
      </c>
    </row>
    <row r="13" spans="1:1" x14ac:dyDescent="0.45">
      <c r="A13" t="s">
        <v>130</v>
      </c>
    </row>
    <row r="14" spans="1:1" x14ac:dyDescent="0.45">
      <c r="A14" t="s">
        <v>131</v>
      </c>
    </row>
    <row r="15" spans="1:1" x14ac:dyDescent="0.45">
      <c r="A15" t="s">
        <v>132</v>
      </c>
    </row>
    <row r="16" spans="1:1" x14ac:dyDescent="0.45">
      <c r="A16" t="s">
        <v>133</v>
      </c>
    </row>
    <row r="17" spans="1:1" x14ac:dyDescent="0.45">
      <c r="A17" t="s">
        <v>134</v>
      </c>
    </row>
    <row r="18" spans="1:1" x14ac:dyDescent="0.45">
      <c r="A18" t="s">
        <v>135</v>
      </c>
    </row>
    <row r="19" spans="1:1" x14ac:dyDescent="0.45">
      <c r="A19" t="s">
        <v>136</v>
      </c>
    </row>
    <row r="20" spans="1:1" x14ac:dyDescent="0.45">
      <c r="A20" t="s">
        <v>137</v>
      </c>
    </row>
    <row r="21" spans="1:1" x14ac:dyDescent="0.45">
      <c r="A21" t="s">
        <v>138</v>
      </c>
    </row>
    <row r="22" spans="1:1" x14ac:dyDescent="0.45">
      <c r="A22" t="s">
        <v>139</v>
      </c>
    </row>
    <row r="24" spans="1:1" x14ac:dyDescent="0.45">
      <c r="A24" t="s">
        <v>140</v>
      </c>
    </row>
    <row r="25" spans="1:1" x14ac:dyDescent="0.45">
      <c r="A25" t="s">
        <v>141</v>
      </c>
    </row>
    <row r="26" spans="1:1" x14ac:dyDescent="0.45">
      <c r="A26" t="s">
        <v>142</v>
      </c>
    </row>
    <row r="27" spans="1:1" x14ac:dyDescent="0.45">
      <c r="A27" t="s">
        <v>143</v>
      </c>
    </row>
    <row r="28" spans="1:1" x14ac:dyDescent="0.45">
      <c r="A28" t="s">
        <v>144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sheetViews>
  <sheetFormatPr defaultRowHeight="14.25" x14ac:dyDescent="0.45"/>
  <cols>
    <col min="1" max="1" width="10" customWidth="1"/>
    <col min="2" max="2" width="22" customWidth="1"/>
    <col min="3" max="3" width="14" customWidth="1"/>
    <col min="4" max="4" width="105" customWidth="1"/>
  </cols>
  <sheetData>
    <row r="1" spans="1:4" x14ac:dyDescent="0.45">
      <c r="A1" s="1" t="s">
        <v>145</v>
      </c>
      <c r="B1" s="1" t="s">
        <v>146</v>
      </c>
      <c r="C1" s="1" t="s">
        <v>147</v>
      </c>
      <c r="D1" s="1" t="s">
        <v>148</v>
      </c>
    </row>
    <row r="2" spans="1:4" x14ac:dyDescent="0.45">
      <c r="A2" t="s">
        <v>149</v>
      </c>
      <c r="B2" t="s">
        <v>150</v>
      </c>
      <c r="C2" s="2">
        <v>184000000</v>
      </c>
      <c r="D2" t="s">
        <v>151</v>
      </c>
    </row>
    <row r="3" spans="1:4" x14ac:dyDescent="0.45">
      <c r="A3" t="s">
        <v>149</v>
      </c>
      <c r="B3" t="s">
        <v>152</v>
      </c>
      <c r="C3" s="2">
        <v>383000000</v>
      </c>
      <c r="D3" t="s">
        <v>153</v>
      </c>
    </row>
    <row r="4" spans="1:4" x14ac:dyDescent="0.45">
      <c r="A4" t="s">
        <v>149</v>
      </c>
      <c r="B4" t="s">
        <v>154</v>
      </c>
      <c r="C4" s="2">
        <v>596000000</v>
      </c>
      <c r="D4" t="s">
        <v>155</v>
      </c>
    </row>
    <row r="5" spans="1:4" x14ac:dyDescent="0.45">
      <c r="A5" t="s">
        <v>149</v>
      </c>
      <c r="B5" t="s">
        <v>156</v>
      </c>
      <c r="C5" s="2">
        <v>793000000</v>
      </c>
      <c r="D5" t="s">
        <v>157</v>
      </c>
    </row>
    <row r="6" spans="1:4" x14ac:dyDescent="0.45">
      <c r="A6" t="s">
        <v>158</v>
      </c>
      <c r="B6" t="s">
        <v>159</v>
      </c>
      <c r="C6" s="2">
        <v>2030</v>
      </c>
      <c r="D6" t="s">
        <v>160</v>
      </c>
    </row>
    <row r="7" spans="1:4" x14ac:dyDescent="0.45">
      <c r="A7" t="s">
        <v>158</v>
      </c>
      <c r="B7" t="s">
        <v>161</v>
      </c>
      <c r="C7" s="2">
        <v>4</v>
      </c>
      <c r="D7" t="s">
        <v>162</v>
      </c>
    </row>
    <row r="8" spans="1:4" x14ac:dyDescent="0.45">
      <c r="A8" t="s">
        <v>158</v>
      </c>
      <c r="B8" t="s">
        <v>163</v>
      </c>
      <c r="C8" s="2">
        <v>5</v>
      </c>
      <c r="D8" t="s">
        <v>164</v>
      </c>
    </row>
    <row r="9" spans="1:4" x14ac:dyDescent="0.45">
      <c r="A9" t="s">
        <v>165</v>
      </c>
      <c r="B9" t="s">
        <v>166</v>
      </c>
      <c r="C9" s="2">
        <v>1.3</v>
      </c>
      <c r="D9" t="s">
        <v>167</v>
      </c>
    </row>
    <row r="10" spans="1:4" x14ac:dyDescent="0.45">
      <c r="A10" t="s">
        <v>165</v>
      </c>
      <c r="B10" t="s">
        <v>168</v>
      </c>
      <c r="C10" s="2">
        <v>0.05</v>
      </c>
      <c r="D10" t="s">
        <v>169</v>
      </c>
    </row>
    <row r="11" spans="1:4" x14ac:dyDescent="0.45">
      <c r="A11" t="s">
        <v>165</v>
      </c>
      <c r="B11" t="s">
        <v>170</v>
      </c>
      <c r="C11" s="2">
        <v>1000</v>
      </c>
      <c r="D11" t="s">
        <v>171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12" customWidth="1"/>
  </cols>
  <sheetData>
    <row r="1" spans="1:10" x14ac:dyDescent="0.45">
      <c r="A1" s="1" t="s">
        <v>172</v>
      </c>
      <c r="B1" s="1" t="s">
        <v>173</v>
      </c>
      <c r="C1" s="1" t="s">
        <v>174</v>
      </c>
      <c r="D1" s="1" t="s">
        <v>175</v>
      </c>
      <c r="E1" s="1" t="s">
        <v>176</v>
      </c>
      <c r="F1" s="1" t="s">
        <v>177</v>
      </c>
      <c r="G1" s="1" t="s">
        <v>178</v>
      </c>
      <c r="H1" s="1" t="s">
        <v>179</v>
      </c>
      <c r="I1" s="1" t="s">
        <v>180</v>
      </c>
      <c r="J1" s="1" t="s">
        <v>181</v>
      </c>
    </row>
    <row r="2" spans="1:10" x14ac:dyDescent="0.45">
      <c r="A2" t="s">
        <v>6</v>
      </c>
      <c r="B2">
        <v>17</v>
      </c>
      <c r="C2">
        <v>167</v>
      </c>
      <c r="D2">
        <v>170</v>
      </c>
      <c r="E2">
        <v>315</v>
      </c>
      <c r="F2">
        <v>353</v>
      </c>
      <c r="G2">
        <v>390</v>
      </c>
      <c r="H2">
        <v>454</v>
      </c>
      <c r="I2">
        <v>780</v>
      </c>
      <c r="J2">
        <v>981</v>
      </c>
    </row>
    <row r="3" spans="1:10" x14ac:dyDescent="0.45">
      <c r="A3" t="s">
        <v>182</v>
      </c>
      <c r="B3">
        <v>0</v>
      </c>
      <c r="C3">
        <v>0</v>
      </c>
      <c r="D3">
        <v>0</v>
      </c>
      <c r="E3">
        <v>0</v>
      </c>
      <c r="F3">
        <v>0</v>
      </c>
      <c r="G3">
        <v>0</v>
      </c>
      <c r="H3">
        <v>0</v>
      </c>
      <c r="I3">
        <v>0</v>
      </c>
      <c r="J3">
        <v>0</v>
      </c>
    </row>
    <row r="4" spans="1:10" x14ac:dyDescent="0.45">
      <c r="A4" t="s">
        <v>11</v>
      </c>
      <c r="B4">
        <v>0</v>
      </c>
      <c r="C4">
        <v>0</v>
      </c>
      <c r="D4">
        <v>0</v>
      </c>
      <c r="E4">
        <v>8</v>
      </c>
      <c r="F4">
        <v>11</v>
      </c>
      <c r="G4">
        <v>14</v>
      </c>
      <c r="H4">
        <v>8</v>
      </c>
      <c r="I4">
        <v>11</v>
      </c>
      <c r="J4">
        <v>14</v>
      </c>
    </row>
    <row r="5" spans="1:10" x14ac:dyDescent="0.45">
      <c r="A5" t="s">
        <v>8</v>
      </c>
      <c r="B5">
        <v>472</v>
      </c>
      <c r="C5">
        <v>652</v>
      </c>
      <c r="D5">
        <v>740</v>
      </c>
      <c r="E5">
        <v>1657</v>
      </c>
      <c r="F5">
        <v>1864</v>
      </c>
      <c r="G5">
        <v>2072</v>
      </c>
      <c r="H5">
        <v>2537</v>
      </c>
      <c r="I5">
        <v>3853</v>
      </c>
      <c r="J5">
        <v>5288</v>
      </c>
    </row>
    <row r="6" spans="1:10" x14ac:dyDescent="0.45">
      <c r="A6" t="s">
        <v>13</v>
      </c>
      <c r="B6">
        <v>935</v>
      </c>
      <c r="C6">
        <v>1064</v>
      </c>
      <c r="D6">
        <v>1227</v>
      </c>
      <c r="E6">
        <v>1280</v>
      </c>
      <c r="F6">
        <v>1496</v>
      </c>
      <c r="G6">
        <v>1712</v>
      </c>
      <c r="H6">
        <v>1489</v>
      </c>
      <c r="I6">
        <v>2296</v>
      </c>
      <c r="J6">
        <v>3225</v>
      </c>
    </row>
    <row r="7" spans="1:10" x14ac:dyDescent="0.45">
      <c r="A7" t="s">
        <v>16</v>
      </c>
      <c r="B7">
        <v>92</v>
      </c>
      <c r="C7">
        <v>248</v>
      </c>
      <c r="D7">
        <v>258</v>
      </c>
      <c r="E7">
        <v>170</v>
      </c>
      <c r="F7">
        <v>241</v>
      </c>
      <c r="G7">
        <v>313</v>
      </c>
      <c r="H7">
        <v>333</v>
      </c>
      <c r="I7">
        <v>404</v>
      </c>
      <c r="J7">
        <v>503</v>
      </c>
    </row>
    <row r="8" spans="1:10" x14ac:dyDescent="0.45">
      <c r="A8" t="s">
        <v>18</v>
      </c>
      <c r="B8">
        <v>29</v>
      </c>
      <c r="C8">
        <v>30</v>
      </c>
      <c r="D8">
        <v>30</v>
      </c>
      <c r="E8">
        <v>28</v>
      </c>
      <c r="F8">
        <v>29</v>
      </c>
      <c r="G8">
        <v>30</v>
      </c>
      <c r="H8">
        <v>162</v>
      </c>
      <c r="I8">
        <v>243</v>
      </c>
      <c r="J8">
        <v>355</v>
      </c>
    </row>
    <row r="9" spans="1:10" x14ac:dyDescent="0.45">
      <c r="A9" t="s">
        <v>20</v>
      </c>
      <c r="B9">
        <v>0</v>
      </c>
      <c r="C9">
        <v>0</v>
      </c>
      <c r="D9">
        <v>0</v>
      </c>
      <c r="E9">
        <v>10</v>
      </c>
      <c r="F9">
        <v>14</v>
      </c>
      <c r="G9">
        <v>17</v>
      </c>
      <c r="H9">
        <v>10</v>
      </c>
      <c r="I9">
        <v>14</v>
      </c>
      <c r="J9">
        <v>17</v>
      </c>
    </row>
    <row r="10" spans="1:10" x14ac:dyDescent="0.45">
      <c r="A10" t="s">
        <v>23</v>
      </c>
      <c r="B10">
        <v>80</v>
      </c>
      <c r="C10">
        <v>97</v>
      </c>
      <c r="D10">
        <v>158</v>
      </c>
      <c r="E10">
        <v>184</v>
      </c>
      <c r="F10">
        <v>188</v>
      </c>
      <c r="G10">
        <v>193</v>
      </c>
      <c r="H10">
        <v>342</v>
      </c>
      <c r="I10">
        <v>524</v>
      </c>
      <c r="J10">
        <v>643</v>
      </c>
    </row>
    <row r="11" spans="1:10" x14ac:dyDescent="0.45">
      <c r="A11" t="s">
        <v>27</v>
      </c>
      <c r="B11">
        <v>297</v>
      </c>
      <c r="C11">
        <v>789</v>
      </c>
      <c r="D11">
        <v>1174</v>
      </c>
      <c r="E11">
        <v>1505</v>
      </c>
      <c r="F11">
        <v>1774</v>
      </c>
      <c r="G11">
        <v>2043</v>
      </c>
      <c r="H11">
        <v>3014</v>
      </c>
      <c r="I11">
        <v>5358</v>
      </c>
      <c r="J11">
        <v>7466</v>
      </c>
    </row>
    <row r="12" spans="1:10" x14ac:dyDescent="0.45">
      <c r="A12" t="s">
        <v>183</v>
      </c>
      <c r="B12">
        <v>1</v>
      </c>
      <c r="C12">
        <v>1</v>
      </c>
      <c r="D12">
        <v>1</v>
      </c>
      <c r="E12">
        <v>7</v>
      </c>
      <c r="F12">
        <v>8</v>
      </c>
      <c r="G12">
        <v>9</v>
      </c>
      <c r="H12">
        <v>7</v>
      </c>
      <c r="I12">
        <v>9</v>
      </c>
      <c r="J12">
        <v>10</v>
      </c>
    </row>
    <row r="13" spans="1:10" x14ac:dyDescent="0.45">
      <c r="A13" t="s">
        <v>30</v>
      </c>
      <c r="B13">
        <v>15</v>
      </c>
      <c r="C13">
        <v>17</v>
      </c>
      <c r="D13">
        <v>17</v>
      </c>
      <c r="E13">
        <v>69</v>
      </c>
      <c r="F13">
        <v>89</v>
      </c>
      <c r="G13">
        <v>109</v>
      </c>
      <c r="H13">
        <v>290</v>
      </c>
      <c r="I13">
        <v>554</v>
      </c>
      <c r="J13">
        <v>689</v>
      </c>
    </row>
    <row r="14" spans="1:10" x14ac:dyDescent="0.45">
      <c r="A14" t="s">
        <v>34</v>
      </c>
      <c r="B14">
        <v>793</v>
      </c>
      <c r="C14">
        <v>985</v>
      </c>
      <c r="D14">
        <v>1069</v>
      </c>
      <c r="E14">
        <v>1359</v>
      </c>
      <c r="F14">
        <v>1602</v>
      </c>
      <c r="G14">
        <v>1845</v>
      </c>
      <c r="H14">
        <v>1797</v>
      </c>
      <c r="I14">
        <v>3327</v>
      </c>
      <c r="J14">
        <v>5263</v>
      </c>
    </row>
    <row r="15" spans="1:10" x14ac:dyDescent="0.45">
      <c r="A15" t="s">
        <v>38</v>
      </c>
      <c r="B15">
        <v>19</v>
      </c>
      <c r="C15">
        <v>22</v>
      </c>
      <c r="D15">
        <v>160</v>
      </c>
      <c r="E15">
        <v>236</v>
      </c>
      <c r="F15">
        <v>292</v>
      </c>
      <c r="G15">
        <v>348</v>
      </c>
      <c r="H15">
        <v>2079</v>
      </c>
      <c r="I15">
        <v>5235</v>
      </c>
      <c r="J15">
        <v>7423</v>
      </c>
    </row>
    <row r="16" spans="1:10" x14ac:dyDescent="0.45">
      <c r="A16" t="s">
        <v>41</v>
      </c>
      <c r="B16">
        <v>141</v>
      </c>
      <c r="C16">
        <v>707</v>
      </c>
      <c r="D16">
        <v>160</v>
      </c>
      <c r="E16">
        <v>1530</v>
      </c>
      <c r="F16">
        <v>1698</v>
      </c>
      <c r="G16">
        <v>1866</v>
      </c>
      <c r="H16">
        <v>1530</v>
      </c>
      <c r="I16">
        <v>2198</v>
      </c>
      <c r="J16">
        <v>3366</v>
      </c>
    </row>
    <row r="17" spans="1:10" x14ac:dyDescent="0.45">
      <c r="A17" t="s">
        <v>43</v>
      </c>
      <c r="B17">
        <v>1</v>
      </c>
      <c r="C17">
        <v>1</v>
      </c>
      <c r="D17">
        <v>1</v>
      </c>
      <c r="E17">
        <v>37</v>
      </c>
      <c r="F17">
        <v>44</v>
      </c>
      <c r="G17">
        <v>51</v>
      </c>
      <c r="H17">
        <v>37</v>
      </c>
      <c r="I17">
        <v>45</v>
      </c>
      <c r="J17">
        <v>54</v>
      </c>
    </row>
    <row r="18" spans="1:10" x14ac:dyDescent="0.45">
      <c r="A18" t="s">
        <v>46</v>
      </c>
      <c r="B18">
        <v>9</v>
      </c>
      <c r="C18">
        <v>150</v>
      </c>
      <c r="D18">
        <v>185</v>
      </c>
      <c r="E18">
        <v>353</v>
      </c>
      <c r="F18">
        <v>375</v>
      </c>
      <c r="G18">
        <v>397</v>
      </c>
      <c r="H18">
        <v>408</v>
      </c>
      <c r="I18">
        <v>560</v>
      </c>
      <c r="J18">
        <v>678</v>
      </c>
    </row>
    <row r="19" spans="1:10" x14ac:dyDescent="0.45">
      <c r="A19" t="s">
        <v>50</v>
      </c>
      <c r="B19">
        <v>2</v>
      </c>
      <c r="C19">
        <v>7</v>
      </c>
      <c r="D19">
        <v>9</v>
      </c>
      <c r="E19">
        <v>9</v>
      </c>
      <c r="F19">
        <v>9</v>
      </c>
      <c r="G19">
        <v>9</v>
      </c>
      <c r="H19">
        <v>809</v>
      </c>
      <c r="I19">
        <v>1130</v>
      </c>
      <c r="J19">
        <v>1591</v>
      </c>
    </row>
    <row r="20" spans="1:10" x14ac:dyDescent="0.45">
      <c r="A20" t="s">
        <v>54</v>
      </c>
      <c r="B20">
        <v>0</v>
      </c>
      <c r="C20">
        <v>3</v>
      </c>
      <c r="D20">
        <v>3</v>
      </c>
      <c r="E20">
        <v>3</v>
      </c>
      <c r="F20">
        <v>3</v>
      </c>
      <c r="G20">
        <v>3</v>
      </c>
      <c r="H20">
        <v>3</v>
      </c>
      <c r="I20">
        <v>9</v>
      </c>
      <c r="J20">
        <v>21</v>
      </c>
    </row>
    <row r="21" spans="1:10" x14ac:dyDescent="0.45">
      <c r="A21" t="s">
        <v>56</v>
      </c>
      <c r="B21">
        <v>9</v>
      </c>
      <c r="C21">
        <v>11</v>
      </c>
      <c r="D21">
        <v>11</v>
      </c>
      <c r="E21">
        <v>60</v>
      </c>
      <c r="F21">
        <v>63</v>
      </c>
      <c r="G21">
        <v>67</v>
      </c>
      <c r="H21">
        <v>547</v>
      </c>
      <c r="I21">
        <v>1576</v>
      </c>
      <c r="J21">
        <v>2350</v>
      </c>
    </row>
    <row r="22" spans="1:10" x14ac:dyDescent="0.45">
      <c r="A22" t="s">
        <v>59</v>
      </c>
      <c r="B22">
        <v>160</v>
      </c>
      <c r="C22">
        <v>160</v>
      </c>
      <c r="D22">
        <v>160</v>
      </c>
      <c r="E22">
        <v>159</v>
      </c>
      <c r="F22">
        <v>171</v>
      </c>
      <c r="G22">
        <v>184</v>
      </c>
      <c r="H22">
        <v>160</v>
      </c>
      <c r="I22">
        <v>171</v>
      </c>
      <c r="J22">
        <v>184</v>
      </c>
    </row>
    <row r="23" spans="1:10" x14ac:dyDescent="0.45">
      <c r="A23" t="s">
        <v>62</v>
      </c>
      <c r="B23">
        <v>19</v>
      </c>
      <c r="C23">
        <v>21</v>
      </c>
      <c r="D23">
        <v>60</v>
      </c>
      <c r="E23">
        <v>90</v>
      </c>
      <c r="F23">
        <v>97</v>
      </c>
      <c r="G23">
        <v>103</v>
      </c>
      <c r="H23">
        <v>118</v>
      </c>
      <c r="I23">
        <v>179</v>
      </c>
      <c r="J23">
        <v>214</v>
      </c>
    </row>
    <row r="24" spans="1:10" x14ac:dyDescent="0.45">
      <c r="A24" t="s">
        <v>65</v>
      </c>
      <c r="B24">
        <v>59</v>
      </c>
      <c r="C24">
        <v>59</v>
      </c>
      <c r="D24">
        <v>69</v>
      </c>
      <c r="E24">
        <v>87</v>
      </c>
      <c r="F24">
        <v>106</v>
      </c>
      <c r="G24">
        <v>125</v>
      </c>
      <c r="H24">
        <v>256</v>
      </c>
      <c r="I24">
        <v>600</v>
      </c>
      <c r="J24">
        <v>1033</v>
      </c>
    </row>
    <row r="25" spans="1:10" x14ac:dyDescent="0.45">
      <c r="A25" t="s">
        <v>67</v>
      </c>
      <c r="B25">
        <v>0</v>
      </c>
      <c r="C25">
        <v>0</v>
      </c>
      <c r="D25">
        <v>0</v>
      </c>
      <c r="E25">
        <v>31</v>
      </c>
      <c r="F25">
        <v>46</v>
      </c>
      <c r="G25">
        <v>61</v>
      </c>
      <c r="H25">
        <v>602</v>
      </c>
      <c r="I25">
        <v>1316</v>
      </c>
      <c r="J25">
        <v>1770</v>
      </c>
    </row>
    <row r="26" spans="1:10" x14ac:dyDescent="0.45">
      <c r="A26" t="s">
        <v>69</v>
      </c>
      <c r="B26">
        <v>89</v>
      </c>
      <c r="C26">
        <v>111</v>
      </c>
      <c r="D26">
        <v>111</v>
      </c>
      <c r="E26">
        <v>205</v>
      </c>
      <c r="F26">
        <v>224</v>
      </c>
      <c r="G26">
        <v>243</v>
      </c>
      <c r="H26">
        <v>359</v>
      </c>
      <c r="I26">
        <v>556</v>
      </c>
      <c r="J26">
        <v>756</v>
      </c>
    </row>
    <row r="27" spans="1:10" x14ac:dyDescent="0.45">
      <c r="A27" t="s">
        <v>71</v>
      </c>
      <c r="B27">
        <v>0</v>
      </c>
      <c r="C27">
        <v>66</v>
      </c>
      <c r="D27">
        <v>66</v>
      </c>
      <c r="E27">
        <v>96</v>
      </c>
      <c r="F27">
        <v>106</v>
      </c>
      <c r="G27">
        <v>115</v>
      </c>
      <c r="H27">
        <v>96</v>
      </c>
      <c r="I27">
        <v>106</v>
      </c>
      <c r="J27">
        <v>115</v>
      </c>
    </row>
    <row r="28" spans="1:10" x14ac:dyDescent="0.45">
      <c r="A28" t="s">
        <v>73</v>
      </c>
      <c r="B28">
        <v>52</v>
      </c>
      <c r="C28">
        <v>352</v>
      </c>
      <c r="D28">
        <v>806</v>
      </c>
      <c r="E28">
        <v>963</v>
      </c>
      <c r="F28">
        <v>1021</v>
      </c>
      <c r="G28">
        <v>1079</v>
      </c>
      <c r="H28">
        <v>1158</v>
      </c>
      <c r="I28">
        <v>1378</v>
      </c>
      <c r="J28">
        <v>1543</v>
      </c>
    </row>
    <row r="29" spans="1:10" x14ac:dyDescent="0.45">
      <c r="A29" t="s">
        <v>75</v>
      </c>
      <c r="B29">
        <v>487</v>
      </c>
      <c r="C29">
        <v>606</v>
      </c>
      <c r="D29">
        <v>613</v>
      </c>
      <c r="E29">
        <v>674</v>
      </c>
      <c r="F29">
        <v>866</v>
      </c>
      <c r="G29">
        <v>1057</v>
      </c>
      <c r="H29">
        <v>1268</v>
      </c>
      <c r="I29">
        <v>2529</v>
      </c>
      <c r="J29">
        <v>3922</v>
      </c>
    </row>
    <row r="30" spans="1:10" x14ac:dyDescent="0.45">
      <c r="A30" t="s">
        <v>77</v>
      </c>
      <c r="B30">
        <v>2</v>
      </c>
      <c r="C30">
        <v>2</v>
      </c>
      <c r="D30">
        <v>2</v>
      </c>
      <c r="E30">
        <v>3</v>
      </c>
      <c r="F30">
        <v>4</v>
      </c>
      <c r="G30">
        <v>4</v>
      </c>
      <c r="H30">
        <v>3</v>
      </c>
      <c r="I30">
        <v>4</v>
      </c>
      <c r="J30">
        <v>4</v>
      </c>
    </row>
    <row r="31" spans="1:10" x14ac:dyDescent="0.45">
      <c r="A31" t="s">
        <v>79</v>
      </c>
      <c r="B31">
        <v>410</v>
      </c>
      <c r="C31">
        <v>410</v>
      </c>
      <c r="D31">
        <v>555</v>
      </c>
      <c r="E31">
        <v>490</v>
      </c>
      <c r="F31">
        <v>547</v>
      </c>
      <c r="G31">
        <v>605</v>
      </c>
      <c r="H31">
        <v>701</v>
      </c>
      <c r="I31">
        <v>960</v>
      </c>
      <c r="J31">
        <v>1190</v>
      </c>
    </row>
    <row r="32" spans="1:10" x14ac:dyDescent="0.45">
      <c r="A32" t="s">
        <v>81</v>
      </c>
      <c r="B32">
        <v>36</v>
      </c>
      <c r="C32">
        <v>46</v>
      </c>
      <c r="D32">
        <v>46</v>
      </c>
      <c r="E32">
        <v>353</v>
      </c>
      <c r="F32">
        <v>393</v>
      </c>
      <c r="G32">
        <v>434</v>
      </c>
      <c r="H32">
        <v>385</v>
      </c>
      <c r="I32">
        <v>676</v>
      </c>
      <c r="J32">
        <v>1123</v>
      </c>
    </row>
    <row r="33" spans="1:10" x14ac:dyDescent="0.45">
      <c r="A33" t="s">
        <v>83</v>
      </c>
      <c r="B33">
        <v>217</v>
      </c>
      <c r="C33">
        <v>308</v>
      </c>
      <c r="D33">
        <v>633</v>
      </c>
      <c r="E33">
        <v>964</v>
      </c>
      <c r="F33">
        <v>1085</v>
      </c>
      <c r="G33">
        <v>1206</v>
      </c>
      <c r="H33">
        <v>1112</v>
      </c>
      <c r="I33">
        <v>1487</v>
      </c>
      <c r="J33">
        <v>1782</v>
      </c>
    </row>
    <row r="34" spans="1:10" x14ac:dyDescent="0.45">
      <c r="A34" t="s">
        <v>85</v>
      </c>
      <c r="B34">
        <v>344</v>
      </c>
      <c r="C34">
        <v>491</v>
      </c>
      <c r="D34">
        <v>506</v>
      </c>
      <c r="E34">
        <v>605</v>
      </c>
      <c r="F34">
        <v>746</v>
      </c>
      <c r="G34">
        <v>887</v>
      </c>
      <c r="H34">
        <v>1096</v>
      </c>
      <c r="I34">
        <v>1856</v>
      </c>
      <c r="J34">
        <v>2533</v>
      </c>
    </row>
    <row r="35" spans="1:10" x14ac:dyDescent="0.45">
      <c r="A35" t="s">
        <v>87</v>
      </c>
      <c r="B35">
        <v>1</v>
      </c>
      <c r="C35">
        <v>101</v>
      </c>
      <c r="D35">
        <v>447</v>
      </c>
      <c r="E35">
        <v>603</v>
      </c>
      <c r="F35">
        <v>640</v>
      </c>
      <c r="G35">
        <v>677</v>
      </c>
      <c r="H35">
        <v>729</v>
      </c>
      <c r="I35">
        <v>780</v>
      </c>
      <c r="J35">
        <v>817</v>
      </c>
    </row>
    <row r="36" spans="1:10" x14ac:dyDescent="0.45">
      <c r="A36" t="s">
        <v>89</v>
      </c>
      <c r="B36">
        <v>183</v>
      </c>
      <c r="C36">
        <v>396</v>
      </c>
      <c r="D36">
        <v>1170</v>
      </c>
      <c r="E36">
        <v>1987</v>
      </c>
      <c r="F36">
        <v>2104</v>
      </c>
      <c r="G36">
        <v>2222</v>
      </c>
      <c r="H36">
        <v>3248</v>
      </c>
      <c r="I36">
        <v>5087</v>
      </c>
      <c r="J36">
        <v>6772</v>
      </c>
    </row>
    <row r="37" spans="1:10" x14ac:dyDescent="0.45">
      <c r="A37" t="s">
        <v>91</v>
      </c>
      <c r="B37">
        <v>33</v>
      </c>
      <c r="C37">
        <v>120</v>
      </c>
      <c r="D37">
        <v>140</v>
      </c>
      <c r="E37">
        <v>670</v>
      </c>
      <c r="F37">
        <v>745</v>
      </c>
      <c r="G37">
        <v>820</v>
      </c>
      <c r="H37">
        <v>868</v>
      </c>
      <c r="I37">
        <v>1018</v>
      </c>
      <c r="J37">
        <v>1151</v>
      </c>
    </row>
    <row r="38" spans="1:10" x14ac:dyDescent="0.45">
      <c r="A38" t="s">
        <v>93</v>
      </c>
      <c r="B38">
        <v>203</v>
      </c>
      <c r="C38">
        <v>741</v>
      </c>
      <c r="D38">
        <v>1602</v>
      </c>
      <c r="E38">
        <v>2299</v>
      </c>
      <c r="F38">
        <v>2982</v>
      </c>
      <c r="G38">
        <v>3664</v>
      </c>
      <c r="H38">
        <v>2641</v>
      </c>
      <c r="I38">
        <v>3635</v>
      </c>
      <c r="J38">
        <v>4522</v>
      </c>
    </row>
    <row r="39" spans="1:10" x14ac:dyDescent="0.45">
      <c r="A39" t="s">
        <v>95</v>
      </c>
      <c r="B39">
        <v>41</v>
      </c>
      <c r="C39">
        <v>222</v>
      </c>
      <c r="D39">
        <v>524</v>
      </c>
      <c r="E39">
        <v>540</v>
      </c>
      <c r="F39">
        <v>631</v>
      </c>
      <c r="G39">
        <v>722</v>
      </c>
      <c r="H39">
        <v>1008</v>
      </c>
      <c r="I39">
        <v>2802</v>
      </c>
      <c r="J39">
        <v>4980</v>
      </c>
    </row>
    <row r="40" spans="1:10" x14ac:dyDescent="0.45">
      <c r="A40" t="s">
        <v>97</v>
      </c>
      <c r="B40">
        <v>1</v>
      </c>
      <c r="C40">
        <v>2</v>
      </c>
      <c r="D40">
        <v>2</v>
      </c>
      <c r="E40">
        <v>2</v>
      </c>
      <c r="F40">
        <v>3</v>
      </c>
      <c r="G40">
        <v>3</v>
      </c>
      <c r="H40">
        <v>2</v>
      </c>
      <c r="I40">
        <v>3</v>
      </c>
      <c r="J40">
        <v>3</v>
      </c>
    </row>
    <row r="41" spans="1:10" x14ac:dyDescent="0.45">
      <c r="A41" t="s">
        <v>99</v>
      </c>
      <c r="B41">
        <v>79</v>
      </c>
      <c r="C41">
        <v>146</v>
      </c>
      <c r="D41">
        <v>231</v>
      </c>
      <c r="E41">
        <v>528</v>
      </c>
      <c r="F41">
        <v>551</v>
      </c>
      <c r="G41">
        <v>573</v>
      </c>
      <c r="H41">
        <v>871</v>
      </c>
      <c r="I41">
        <v>1610</v>
      </c>
      <c r="J41">
        <v>2097</v>
      </c>
    </row>
    <row r="42" spans="1:10" x14ac:dyDescent="0.45">
      <c r="A42" t="s">
        <v>101</v>
      </c>
      <c r="B42">
        <v>8</v>
      </c>
      <c r="C42">
        <v>8</v>
      </c>
      <c r="D42">
        <v>8</v>
      </c>
      <c r="E42">
        <v>23</v>
      </c>
      <c r="F42">
        <v>30</v>
      </c>
      <c r="G42">
        <v>38</v>
      </c>
      <c r="H42">
        <v>23</v>
      </c>
      <c r="I42">
        <v>31</v>
      </c>
      <c r="J42">
        <v>38</v>
      </c>
    </row>
    <row r="43" spans="1:10" x14ac:dyDescent="0.45">
      <c r="A43" t="s">
        <v>103</v>
      </c>
      <c r="B43">
        <v>25</v>
      </c>
      <c r="C43">
        <v>91</v>
      </c>
      <c r="D43">
        <v>264</v>
      </c>
      <c r="E43">
        <v>644</v>
      </c>
      <c r="F43">
        <v>755</v>
      </c>
      <c r="G43">
        <v>866</v>
      </c>
      <c r="H43">
        <v>805</v>
      </c>
      <c r="I43">
        <v>1233</v>
      </c>
      <c r="J43">
        <v>1527</v>
      </c>
    </row>
    <row r="44" spans="1:10" x14ac:dyDescent="0.45">
      <c r="A44" t="s">
        <v>105</v>
      </c>
      <c r="B44">
        <v>1915</v>
      </c>
      <c r="C44">
        <v>2722</v>
      </c>
      <c r="D44">
        <v>5159</v>
      </c>
      <c r="E44">
        <v>6547</v>
      </c>
      <c r="F44">
        <v>7315</v>
      </c>
      <c r="G44">
        <v>8083</v>
      </c>
      <c r="H44">
        <v>8271</v>
      </c>
      <c r="I44">
        <v>14053</v>
      </c>
      <c r="J44">
        <v>20881</v>
      </c>
    </row>
    <row r="45" spans="1:10" x14ac:dyDescent="0.45">
      <c r="A45" t="s">
        <v>107</v>
      </c>
      <c r="B45">
        <v>207</v>
      </c>
      <c r="C45">
        <v>382</v>
      </c>
      <c r="D45">
        <v>382</v>
      </c>
      <c r="E45">
        <v>376</v>
      </c>
      <c r="F45">
        <v>497</v>
      </c>
      <c r="G45">
        <v>619</v>
      </c>
      <c r="H45">
        <v>506</v>
      </c>
      <c r="I45">
        <v>867</v>
      </c>
      <c r="J45">
        <v>1255</v>
      </c>
    </row>
    <row r="46" spans="1:10" x14ac:dyDescent="0.45">
      <c r="A46" t="s">
        <v>109</v>
      </c>
      <c r="B46">
        <v>0</v>
      </c>
      <c r="C46">
        <v>0</v>
      </c>
      <c r="D46">
        <v>0</v>
      </c>
      <c r="E46">
        <v>1</v>
      </c>
      <c r="F46">
        <v>2</v>
      </c>
      <c r="G46">
        <v>2</v>
      </c>
      <c r="H46">
        <v>1</v>
      </c>
      <c r="I46">
        <v>2</v>
      </c>
      <c r="J46">
        <v>2</v>
      </c>
    </row>
    <row r="47" spans="1:10" x14ac:dyDescent="0.45">
      <c r="A47" t="s">
        <v>111</v>
      </c>
      <c r="B47">
        <v>2701</v>
      </c>
      <c r="C47">
        <v>3194</v>
      </c>
      <c r="D47">
        <v>4694</v>
      </c>
      <c r="E47">
        <v>5917</v>
      </c>
      <c r="F47">
        <v>6367</v>
      </c>
      <c r="G47">
        <v>6817</v>
      </c>
      <c r="H47">
        <v>12179</v>
      </c>
      <c r="I47">
        <v>22323</v>
      </c>
      <c r="J47">
        <v>28942</v>
      </c>
    </row>
    <row r="48" spans="1:10" x14ac:dyDescent="0.45">
      <c r="A48" t="s">
        <v>113</v>
      </c>
      <c r="B48">
        <v>561</v>
      </c>
      <c r="C48">
        <v>605</v>
      </c>
      <c r="D48">
        <v>1027</v>
      </c>
      <c r="E48">
        <v>1014</v>
      </c>
      <c r="F48">
        <v>1163</v>
      </c>
      <c r="G48">
        <v>1285</v>
      </c>
      <c r="H48">
        <v>1119</v>
      </c>
      <c r="I48">
        <v>1298</v>
      </c>
      <c r="J48">
        <v>1467</v>
      </c>
    </row>
    <row r="49" spans="1:10" x14ac:dyDescent="0.45">
      <c r="A49" t="s">
        <v>117</v>
      </c>
      <c r="B49">
        <v>10</v>
      </c>
      <c r="C49">
        <v>12</v>
      </c>
      <c r="D49">
        <v>19</v>
      </c>
      <c r="E49">
        <v>51</v>
      </c>
      <c r="F49">
        <v>83</v>
      </c>
      <c r="G49">
        <v>115</v>
      </c>
      <c r="H49">
        <v>154</v>
      </c>
      <c r="I49">
        <v>409</v>
      </c>
      <c r="J49">
        <v>842</v>
      </c>
    </row>
    <row r="50" spans="1:10" x14ac:dyDescent="0.45">
      <c r="A50" t="s">
        <v>119</v>
      </c>
      <c r="B50">
        <v>212</v>
      </c>
      <c r="C50">
        <v>212</v>
      </c>
      <c r="D50">
        <v>212</v>
      </c>
      <c r="E50">
        <v>305</v>
      </c>
      <c r="F50">
        <v>341</v>
      </c>
      <c r="G50">
        <v>376</v>
      </c>
      <c r="H50">
        <v>463</v>
      </c>
      <c r="I50">
        <v>773</v>
      </c>
      <c r="J50">
        <v>1096</v>
      </c>
    </row>
    <row r="51" spans="1:10" x14ac:dyDescent="0.45">
      <c r="A51" t="s">
        <v>184</v>
      </c>
      <c r="B51">
        <v>10967</v>
      </c>
      <c r="C51">
        <v>16537</v>
      </c>
      <c r="D51">
        <v>25547</v>
      </c>
      <c r="E51">
        <v>35074</v>
      </c>
      <c r="F51">
        <v>39774</v>
      </c>
      <c r="G51">
        <v>44473</v>
      </c>
      <c r="H51">
        <v>56057</v>
      </c>
      <c r="I51">
        <v>95862</v>
      </c>
      <c r="J51">
        <v>132499</v>
      </c>
    </row>
    <row r="53" spans="1:10" ht="90" customHeight="1" x14ac:dyDescent="0.45">
      <c r="A53" s="9" t="s">
        <v>185</v>
      </c>
      <c r="B53" s="10"/>
      <c r="C53" s="10"/>
      <c r="D53" s="10"/>
      <c r="E53" s="10"/>
      <c r="F53" s="10"/>
      <c r="G53" s="10"/>
      <c r="H53" s="10"/>
      <c r="I53" s="10"/>
      <c r="J53" s="10"/>
    </row>
  </sheetData>
  <mergeCells count="1">
    <mergeCell ref="A53:J5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7"/>
  <sheetViews>
    <sheetView workbookViewId="0">
      <pane ySplit="1" topLeftCell="A2" activePane="bottomLeft" state="frozen"/>
      <selection pane="bottomLeft"/>
    </sheetView>
  </sheetViews>
  <sheetFormatPr defaultRowHeight="14.25" x14ac:dyDescent="0.45"/>
  <cols>
    <col min="1" max="1" width="18" customWidth="1"/>
  </cols>
  <sheetData>
    <row r="1" spans="1:3" x14ac:dyDescent="0.45">
      <c r="A1" s="1" t="s">
        <v>2</v>
      </c>
      <c r="B1" s="1" t="s">
        <v>186</v>
      </c>
      <c r="C1" s="1" t="s">
        <v>187</v>
      </c>
    </row>
    <row r="2" spans="1:3" x14ac:dyDescent="0.45">
      <c r="A2" t="s">
        <v>5</v>
      </c>
      <c r="B2">
        <v>1489200</v>
      </c>
      <c r="C2">
        <v>1.7100000000000001E-2</v>
      </c>
    </row>
    <row r="3" spans="1:3" x14ac:dyDescent="0.45">
      <c r="A3" t="s">
        <v>7</v>
      </c>
      <c r="B3">
        <v>6253280</v>
      </c>
      <c r="C3">
        <v>7.4300000000000005E-2</v>
      </c>
    </row>
    <row r="4" spans="1:3" x14ac:dyDescent="0.45">
      <c r="A4" t="s">
        <v>12</v>
      </c>
      <c r="B4">
        <v>9313619</v>
      </c>
      <c r="C4">
        <v>3.6999999999999998E-2</v>
      </c>
    </row>
    <row r="5" spans="1:3" x14ac:dyDescent="0.45">
      <c r="A5" t="s">
        <v>15</v>
      </c>
      <c r="B5">
        <v>1509640</v>
      </c>
      <c r="C5">
        <v>2.6599999999999999E-2</v>
      </c>
    </row>
    <row r="6" spans="1:3" x14ac:dyDescent="0.45">
      <c r="A6" t="s">
        <v>17</v>
      </c>
      <c r="B6">
        <v>262800</v>
      </c>
      <c r="C6">
        <v>9.4999999999999998E-3</v>
      </c>
    </row>
    <row r="7" spans="1:3" x14ac:dyDescent="0.45">
      <c r="A7" t="s">
        <v>22</v>
      </c>
      <c r="B7">
        <v>1384080</v>
      </c>
      <c r="C7">
        <v>5.5999999999999999E-3</v>
      </c>
    </row>
    <row r="8" spans="1:3" x14ac:dyDescent="0.45">
      <c r="A8" t="s">
        <v>26</v>
      </c>
      <c r="B8">
        <v>6175391</v>
      </c>
      <c r="C8">
        <v>4.2599999999999999E-2</v>
      </c>
    </row>
    <row r="9" spans="1:3" x14ac:dyDescent="0.45">
      <c r="A9" t="s">
        <v>188</v>
      </c>
      <c r="B9">
        <v>8760</v>
      </c>
      <c r="C9">
        <v>8.6E-3</v>
      </c>
    </row>
    <row r="10" spans="1:3" x14ac:dyDescent="0.45">
      <c r="A10" t="s">
        <v>29</v>
      </c>
      <c r="B10">
        <v>148920</v>
      </c>
      <c r="C10">
        <v>5.7000000000000002E-3</v>
      </c>
    </row>
    <row r="11" spans="1:3" x14ac:dyDescent="0.45">
      <c r="A11" t="s">
        <v>33</v>
      </c>
      <c r="B11">
        <v>7450176</v>
      </c>
      <c r="C11">
        <v>5.4800000000000001E-2</v>
      </c>
    </row>
    <row r="12" spans="1:3" x14ac:dyDescent="0.45">
      <c r="A12" t="s">
        <v>37</v>
      </c>
      <c r="B12">
        <v>192720</v>
      </c>
      <c r="C12">
        <v>1.9E-3</v>
      </c>
    </row>
    <row r="13" spans="1:3" x14ac:dyDescent="0.45">
      <c r="A13" t="s">
        <v>1</v>
      </c>
      <c r="B13">
        <v>6193320</v>
      </c>
      <c r="C13">
        <v>0.1143</v>
      </c>
    </row>
    <row r="14" spans="1:3" x14ac:dyDescent="0.45">
      <c r="A14" t="s">
        <v>42</v>
      </c>
      <c r="B14">
        <v>8760</v>
      </c>
      <c r="C14">
        <v>1E-4</v>
      </c>
    </row>
    <row r="15" spans="1:3" x14ac:dyDescent="0.45">
      <c r="A15" t="s">
        <v>45</v>
      </c>
      <c r="B15">
        <v>1620000</v>
      </c>
      <c r="C15">
        <v>2.1499999999999998E-2</v>
      </c>
    </row>
    <row r="16" spans="1:3" x14ac:dyDescent="0.45">
      <c r="A16" t="s">
        <v>49</v>
      </c>
      <c r="B16">
        <v>78840</v>
      </c>
      <c r="C16">
        <v>8.0000000000000004E-4</v>
      </c>
    </row>
    <row r="17" spans="1:3" x14ac:dyDescent="0.45">
      <c r="A17" t="s">
        <v>53</v>
      </c>
      <c r="B17">
        <v>26280</v>
      </c>
      <c r="C17">
        <v>2.5999999999999999E-3</v>
      </c>
    </row>
    <row r="18" spans="1:3" x14ac:dyDescent="0.45">
      <c r="A18" t="s">
        <v>55</v>
      </c>
      <c r="B18">
        <v>96360</v>
      </c>
      <c r="C18">
        <v>1.6000000000000001E-3</v>
      </c>
    </row>
    <row r="19" spans="1:3" x14ac:dyDescent="0.45">
      <c r="A19" t="s">
        <v>58</v>
      </c>
      <c r="B19">
        <v>1062980</v>
      </c>
      <c r="C19">
        <v>2.0799999999999999E-2</v>
      </c>
    </row>
    <row r="20" spans="1:3" x14ac:dyDescent="0.45">
      <c r="A20" t="s">
        <v>61</v>
      </c>
      <c r="B20">
        <v>652800</v>
      </c>
      <c r="C20">
        <v>5.1999999999999998E-3</v>
      </c>
    </row>
    <row r="21" spans="1:3" x14ac:dyDescent="0.45">
      <c r="A21" t="s">
        <v>64</v>
      </c>
      <c r="B21">
        <v>824316</v>
      </c>
      <c r="C21">
        <v>1.24E-2</v>
      </c>
    </row>
    <row r="22" spans="1:3" x14ac:dyDescent="0.45">
      <c r="A22" t="s">
        <v>68</v>
      </c>
      <c r="B22">
        <v>1973620</v>
      </c>
      <c r="C22">
        <v>1.3599999999999999E-2</v>
      </c>
    </row>
    <row r="23" spans="1:3" x14ac:dyDescent="0.45">
      <c r="A23" t="s">
        <v>70</v>
      </c>
      <c r="B23">
        <v>578160</v>
      </c>
      <c r="C23">
        <v>3.7100000000000001E-2</v>
      </c>
    </row>
    <row r="24" spans="1:3" x14ac:dyDescent="0.45">
      <c r="A24" t="s">
        <v>72</v>
      </c>
      <c r="B24">
        <v>3959520</v>
      </c>
      <c r="C24">
        <v>0.11700000000000001</v>
      </c>
    </row>
    <row r="25" spans="1:3" x14ac:dyDescent="0.45">
      <c r="A25" t="s">
        <v>74</v>
      </c>
      <c r="B25">
        <v>3416700</v>
      </c>
      <c r="C25">
        <v>0.14219999999999999</v>
      </c>
    </row>
    <row r="26" spans="1:3" x14ac:dyDescent="0.45">
      <c r="A26" t="s">
        <v>76</v>
      </c>
      <c r="B26">
        <v>15720</v>
      </c>
      <c r="C26">
        <v>6.1000000000000004E-3</v>
      </c>
    </row>
    <row r="27" spans="1:3" x14ac:dyDescent="0.45">
      <c r="A27" t="s">
        <v>78</v>
      </c>
      <c r="B27">
        <v>4038630</v>
      </c>
      <c r="C27">
        <v>5.4199999999999998E-2</v>
      </c>
    </row>
    <row r="28" spans="1:3" x14ac:dyDescent="0.45">
      <c r="A28" t="s">
        <v>80</v>
      </c>
      <c r="B28">
        <v>402960</v>
      </c>
      <c r="C28">
        <v>1.6000000000000001E-3</v>
      </c>
    </row>
    <row r="29" spans="1:3" x14ac:dyDescent="0.45">
      <c r="A29" t="s">
        <v>82</v>
      </c>
      <c r="B29">
        <v>4067385</v>
      </c>
      <c r="C29">
        <v>2.8400000000000002E-2</v>
      </c>
    </row>
    <row r="30" spans="1:3" x14ac:dyDescent="0.45">
      <c r="A30" t="s">
        <v>84</v>
      </c>
      <c r="B30">
        <v>2672676</v>
      </c>
      <c r="C30">
        <v>1.9199999999999998E-2</v>
      </c>
    </row>
    <row r="31" spans="1:3" x14ac:dyDescent="0.45">
      <c r="A31" t="s">
        <v>86</v>
      </c>
      <c r="B31">
        <v>3915720</v>
      </c>
      <c r="C31">
        <v>7.3800000000000004E-2</v>
      </c>
    </row>
    <row r="32" spans="1:3" x14ac:dyDescent="0.45">
      <c r="A32" t="s">
        <v>88</v>
      </c>
      <c r="B32">
        <v>2363886</v>
      </c>
      <c r="C32">
        <v>1.78E-2</v>
      </c>
    </row>
    <row r="33" spans="1:3" x14ac:dyDescent="0.45">
      <c r="A33" t="s">
        <v>90</v>
      </c>
      <c r="B33">
        <v>1226400</v>
      </c>
      <c r="C33">
        <v>1.7600000000000001E-2</v>
      </c>
    </row>
    <row r="34" spans="1:3" x14ac:dyDescent="0.45">
      <c r="A34" t="s">
        <v>92</v>
      </c>
      <c r="B34">
        <v>6413663</v>
      </c>
      <c r="C34">
        <v>0.1139</v>
      </c>
    </row>
    <row r="35" spans="1:3" x14ac:dyDescent="0.45">
      <c r="A35" t="s">
        <v>94</v>
      </c>
      <c r="B35">
        <v>4590240</v>
      </c>
      <c r="C35">
        <v>3.1600000000000003E-2</v>
      </c>
    </row>
    <row r="36" spans="1:3" x14ac:dyDescent="0.45">
      <c r="A36" t="s">
        <v>96</v>
      </c>
      <c r="B36">
        <v>17520</v>
      </c>
      <c r="C36">
        <v>2.3E-3</v>
      </c>
    </row>
    <row r="37" spans="1:3" x14ac:dyDescent="0.45">
      <c r="A37" t="s">
        <v>98</v>
      </c>
      <c r="B37">
        <v>2023560</v>
      </c>
      <c r="C37">
        <v>2.4500000000000001E-2</v>
      </c>
    </row>
    <row r="38" spans="1:3" x14ac:dyDescent="0.45">
      <c r="A38" t="s">
        <v>100</v>
      </c>
      <c r="B38">
        <v>70080</v>
      </c>
      <c r="C38">
        <v>5.1999999999999998E-3</v>
      </c>
    </row>
    <row r="39" spans="1:3" x14ac:dyDescent="0.45">
      <c r="A39" t="s">
        <v>102</v>
      </c>
      <c r="B39">
        <v>1327140</v>
      </c>
      <c r="C39">
        <v>1.2999999999999999E-2</v>
      </c>
    </row>
    <row r="40" spans="1:3" x14ac:dyDescent="0.45">
      <c r="A40" t="s">
        <v>104</v>
      </c>
      <c r="B40">
        <v>21813159</v>
      </c>
      <c r="C40">
        <v>4.5900000000000003E-2</v>
      </c>
    </row>
    <row r="41" spans="1:3" x14ac:dyDescent="0.45">
      <c r="A41" t="s">
        <v>106</v>
      </c>
      <c r="B41">
        <v>2562037</v>
      </c>
      <c r="C41">
        <v>7.6799999999999993E-2</v>
      </c>
    </row>
    <row r="42" spans="1:3" x14ac:dyDescent="0.45">
      <c r="A42" t="s">
        <v>110</v>
      </c>
      <c r="B42">
        <v>33851122</v>
      </c>
      <c r="C42">
        <v>0.25590000000000002</v>
      </c>
    </row>
    <row r="43" spans="1:3" x14ac:dyDescent="0.45">
      <c r="A43" t="s">
        <v>112</v>
      </c>
      <c r="B43">
        <v>5171612</v>
      </c>
      <c r="C43">
        <v>5.6899999999999999E-2</v>
      </c>
    </row>
    <row r="44" spans="1:3" x14ac:dyDescent="0.45">
      <c r="A44" t="s">
        <v>116</v>
      </c>
      <c r="B44">
        <v>148920</v>
      </c>
      <c r="C44">
        <v>2.0999999999999999E-3</v>
      </c>
    </row>
    <row r="45" spans="1:3" x14ac:dyDescent="0.45">
      <c r="A45" t="s">
        <v>118</v>
      </c>
      <c r="B45">
        <v>1857120</v>
      </c>
      <c r="C45">
        <v>0.11260000000000001</v>
      </c>
    </row>
    <row r="47" spans="1:3" x14ac:dyDescent="0.45">
      <c r="A47" s="3" t="s">
        <v>189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1"/>
  <sheetViews>
    <sheetView workbookViewId="0">
      <pane ySplit="3" topLeftCell="A4" activePane="bottomLeft" state="frozen"/>
      <selection pane="bottomLeft"/>
    </sheetView>
  </sheetViews>
  <sheetFormatPr defaultRowHeight="14.25" x14ac:dyDescent="0.45"/>
  <cols>
    <col min="1" max="1" width="10" customWidth="1"/>
    <col min="2" max="2" width="18" customWidth="1"/>
    <col min="3" max="6" width="13" customWidth="1"/>
  </cols>
  <sheetData>
    <row r="1" spans="1:6" x14ac:dyDescent="0.45">
      <c r="A1" s="3" t="s">
        <v>190</v>
      </c>
    </row>
    <row r="3" spans="1:6" x14ac:dyDescent="0.45">
      <c r="A3" s="7" t="s">
        <v>3</v>
      </c>
      <c r="B3" s="7" t="s">
        <v>2</v>
      </c>
      <c r="C3" s="7" t="s">
        <v>191</v>
      </c>
      <c r="D3" s="7" t="s">
        <v>192</v>
      </c>
      <c r="E3" s="7" t="s">
        <v>193</v>
      </c>
      <c r="F3" s="7" t="s">
        <v>194</v>
      </c>
    </row>
    <row r="4" spans="1:6" x14ac:dyDescent="0.45">
      <c r="A4" t="s">
        <v>6</v>
      </c>
      <c r="B4" t="s">
        <v>5</v>
      </c>
      <c r="C4">
        <v>23483.1</v>
      </c>
      <c r="D4">
        <v>22213.5</v>
      </c>
      <c r="E4">
        <v>33717</v>
      </c>
      <c r="F4">
        <v>31257.200000000001</v>
      </c>
    </row>
    <row r="5" spans="1:6" x14ac:dyDescent="0.45">
      <c r="A5" t="s">
        <v>8</v>
      </c>
      <c r="B5" t="s">
        <v>7</v>
      </c>
      <c r="C5">
        <v>29683.5</v>
      </c>
      <c r="D5">
        <v>32619.7</v>
      </c>
      <c r="E5">
        <v>13637.7</v>
      </c>
      <c r="F5">
        <v>13920.4</v>
      </c>
    </row>
    <row r="6" spans="1:6" x14ac:dyDescent="0.45">
      <c r="A6" t="s">
        <v>11</v>
      </c>
      <c r="B6" t="s">
        <v>10</v>
      </c>
      <c r="C6">
        <v>12278.3</v>
      </c>
      <c r="D6">
        <v>11694.1</v>
      </c>
      <c r="E6">
        <v>18064.8</v>
      </c>
      <c r="F6">
        <v>18581</v>
      </c>
    </row>
    <row r="7" spans="1:6" x14ac:dyDescent="0.45">
      <c r="A7" t="s">
        <v>13</v>
      </c>
      <c r="B7" t="s">
        <v>12</v>
      </c>
      <c r="C7">
        <v>115786.5</v>
      </c>
      <c r="D7">
        <v>112935.6</v>
      </c>
      <c r="E7">
        <v>49491.4</v>
      </c>
      <c r="F7">
        <v>42998.6</v>
      </c>
    </row>
    <row r="8" spans="1:6" x14ac:dyDescent="0.45">
      <c r="A8" t="s">
        <v>16</v>
      </c>
      <c r="B8" t="s">
        <v>15</v>
      </c>
      <c r="C8">
        <v>21023.3</v>
      </c>
      <c r="D8">
        <v>20697.7</v>
      </c>
      <c r="E8">
        <v>16047.3</v>
      </c>
      <c r="F8">
        <v>14778.8</v>
      </c>
    </row>
    <row r="9" spans="1:6" x14ac:dyDescent="0.45">
      <c r="A9" t="s">
        <v>18</v>
      </c>
      <c r="B9" t="s">
        <v>17</v>
      </c>
      <c r="C9">
        <v>12381.1</v>
      </c>
      <c r="D9">
        <v>11373.6</v>
      </c>
      <c r="E9">
        <v>3210</v>
      </c>
      <c r="F9">
        <v>2579.4</v>
      </c>
    </row>
    <row r="10" spans="1:6" x14ac:dyDescent="0.45">
      <c r="A10" t="s">
        <v>20</v>
      </c>
      <c r="B10" t="s">
        <v>19</v>
      </c>
      <c r="C10">
        <v>4342.3</v>
      </c>
      <c r="D10">
        <v>4148.5</v>
      </c>
      <c r="E10">
        <v>2360.6</v>
      </c>
      <c r="F10">
        <v>1440.3</v>
      </c>
    </row>
    <row r="11" spans="1:6" x14ac:dyDescent="0.45">
      <c r="A11" t="s">
        <v>23</v>
      </c>
      <c r="B11" t="s">
        <v>22</v>
      </c>
      <c r="C11">
        <v>96265.3</v>
      </c>
      <c r="D11">
        <v>97255.4</v>
      </c>
      <c r="E11">
        <v>16689.099999999999</v>
      </c>
      <c r="F11">
        <v>17808.599999999999</v>
      </c>
    </row>
    <row r="12" spans="1:6" x14ac:dyDescent="0.45">
      <c r="A12" t="s">
        <v>27</v>
      </c>
      <c r="B12" t="s">
        <v>26</v>
      </c>
      <c r="C12">
        <v>47311.7</v>
      </c>
      <c r="D12">
        <v>51404.7</v>
      </c>
      <c r="E12">
        <v>32695.8</v>
      </c>
      <c r="F12">
        <v>32067.5</v>
      </c>
    </row>
    <row r="13" spans="1:6" x14ac:dyDescent="0.45">
      <c r="A13" t="s">
        <v>30</v>
      </c>
      <c r="B13" t="s">
        <v>29</v>
      </c>
      <c r="C13">
        <v>6436.9</v>
      </c>
      <c r="D13">
        <v>6842.1</v>
      </c>
      <c r="E13">
        <v>8889</v>
      </c>
      <c r="F13">
        <v>9038.6</v>
      </c>
    </row>
    <row r="14" spans="1:6" x14ac:dyDescent="0.45">
      <c r="A14" t="s">
        <v>34</v>
      </c>
      <c r="B14" t="s">
        <v>33</v>
      </c>
      <c r="C14">
        <v>50762.8</v>
      </c>
      <c r="D14">
        <v>45576.3</v>
      </c>
      <c r="E14">
        <v>44114.7</v>
      </c>
      <c r="F14">
        <v>41267.4</v>
      </c>
    </row>
    <row r="15" spans="1:6" x14ac:dyDescent="0.45">
      <c r="A15" t="s">
        <v>38</v>
      </c>
      <c r="B15" t="s">
        <v>37</v>
      </c>
      <c r="C15">
        <v>24305.200000000001</v>
      </c>
      <c r="D15">
        <v>23016.400000000001</v>
      </c>
      <c r="E15">
        <v>42775.4</v>
      </c>
      <c r="F15">
        <v>38807.9</v>
      </c>
    </row>
    <row r="16" spans="1:6" x14ac:dyDescent="0.45">
      <c r="A16" t="s">
        <v>41</v>
      </c>
      <c r="B16" t="s">
        <v>1</v>
      </c>
      <c r="C16">
        <v>12417.7</v>
      </c>
      <c r="D16">
        <v>12600.9</v>
      </c>
      <c r="E16">
        <v>23952.5</v>
      </c>
      <c r="F16">
        <v>27217.4</v>
      </c>
    </row>
    <row r="17" spans="1:6" x14ac:dyDescent="0.45">
      <c r="A17" t="s">
        <v>43</v>
      </c>
      <c r="B17" t="s">
        <v>42</v>
      </c>
      <c r="C17">
        <v>16168.8</v>
      </c>
      <c r="D17">
        <v>15727.3</v>
      </c>
      <c r="E17">
        <v>11681</v>
      </c>
      <c r="F17">
        <v>11509.3</v>
      </c>
    </row>
    <row r="18" spans="1:6" x14ac:dyDescent="0.45">
      <c r="A18" t="s">
        <v>46</v>
      </c>
      <c r="B18" t="s">
        <v>45</v>
      </c>
      <c r="C18">
        <v>19980.5</v>
      </c>
      <c r="D18">
        <v>19303.2</v>
      </c>
      <c r="E18">
        <v>28917.4</v>
      </c>
      <c r="F18">
        <v>27367.1</v>
      </c>
    </row>
    <row r="19" spans="1:6" x14ac:dyDescent="0.45">
      <c r="A19" t="s">
        <v>50</v>
      </c>
      <c r="B19" t="s">
        <v>49</v>
      </c>
      <c r="C19">
        <v>24690.9</v>
      </c>
      <c r="D19">
        <v>23743.200000000001</v>
      </c>
      <c r="E19">
        <v>34749.5</v>
      </c>
      <c r="F19">
        <v>37228.9</v>
      </c>
    </row>
    <row r="20" spans="1:6" x14ac:dyDescent="0.45">
      <c r="A20" t="s">
        <v>54</v>
      </c>
      <c r="B20" t="s">
        <v>53</v>
      </c>
      <c r="C20">
        <v>4447.2</v>
      </c>
      <c r="D20">
        <v>4017.1</v>
      </c>
      <c r="E20">
        <v>2866.7</v>
      </c>
      <c r="F20">
        <v>2391.5</v>
      </c>
    </row>
    <row r="21" spans="1:6" x14ac:dyDescent="0.45">
      <c r="A21" t="s">
        <v>56</v>
      </c>
      <c r="B21" t="s">
        <v>55</v>
      </c>
      <c r="C21">
        <v>29547.5</v>
      </c>
      <c r="D21">
        <v>27061.7</v>
      </c>
      <c r="E21">
        <v>3870.2</v>
      </c>
      <c r="F21">
        <v>3455.6</v>
      </c>
    </row>
    <row r="22" spans="1:6" x14ac:dyDescent="0.45">
      <c r="A22" t="s">
        <v>59</v>
      </c>
      <c r="B22" t="s">
        <v>58</v>
      </c>
      <c r="C22">
        <v>25952.5</v>
      </c>
      <c r="D22">
        <v>24275.599999999999</v>
      </c>
      <c r="E22">
        <v>6686.7</v>
      </c>
      <c r="F22">
        <v>6091.2</v>
      </c>
    </row>
    <row r="23" spans="1:6" x14ac:dyDescent="0.45">
      <c r="A23" t="s">
        <v>62</v>
      </c>
      <c r="B23" t="s">
        <v>61</v>
      </c>
      <c r="C23">
        <v>38925.300000000003</v>
      </c>
      <c r="D23">
        <v>36534.300000000003</v>
      </c>
      <c r="E23">
        <v>30602</v>
      </c>
      <c r="F23">
        <v>28515.200000000001</v>
      </c>
    </row>
    <row r="24" spans="1:6" x14ac:dyDescent="0.45">
      <c r="A24" t="s">
        <v>65</v>
      </c>
      <c r="B24" t="s">
        <v>64</v>
      </c>
      <c r="C24">
        <v>23398.6</v>
      </c>
      <c r="D24">
        <v>22613.9</v>
      </c>
      <c r="E24">
        <v>22446.799999999999</v>
      </c>
      <c r="F24">
        <v>20560.599999999999</v>
      </c>
    </row>
    <row r="25" spans="1:6" x14ac:dyDescent="0.45">
      <c r="A25" t="s">
        <v>67</v>
      </c>
      <c r="B25" t="s">
        <v>66</v>
      </c>
      <c r="C25">
        <v>14530.2</v>
      </c>
      <c r="D25">
        <v>14230.9</v>
      </c>
      <c r="E25">
        <v>16549.3</v>
      </c>
      <c r="F25">
        <v>15646.6</v>
      </c>
    </row>
    <row r="26" spans="1:6" x14ac:dyDescent="0.45">
      <c r="A26" t="s">
        <v>69</v>
      </c>
      <c r="B26" t="s">
        <v>68</v>
      </c>
      <c r="C26">
        <v>31179.3</v>
      </c>
      <c r="D26">
        <v>29174.400000000001</v>
      </c>
      <c r="E26">
        <v>13389.6</v>
      </c>
      <c r="F26">
        <v>12813.2</v>
      </c>
    </row>
    <row r="27" spans="1:6" x14ac:dyDescent="0.45">
      <c r="A27" t="s">
        <v>71</v>
      </c>
      <c r="B27" t="s">
        <v>70</v>
      </c>
      <c r="C27">
        <v>4921.2</v>
      </c>
      <c r="D27">
        <v>5063</v>
      </c>
      <c r="E27">
        <v>3681.9</v>
      </c>
      <c r="F27">
        <v>3932.3</v>
      </c>
    </row>
    <row r="28" spans="1:6" x14ac:dyDescent="0.45">
      <c r="A28" t="s">
        <v>73</v>
      </c>
      <c r="B28" t="s">
        <v>72</v>
      </c>
      <c r="C28">
        <v>9553.4</v>
      </c>
      <c r="D28">
        <v>11260.6</v>
      </c>
      <c r="E28">
        <v>10969.3</v>
      </c>
      <c r="F28">
        <v>11635.8</v>
      </c>
    </row>
    <row r="29" spans="1:6" x14ac:dyDescent="0.45">
      <c r="A29" t="s">
        <v>75</v>
      </c>
      <c r="B29" t="s">
        <v>74</v>
      </c>
      <c r="C29">
        <v>12123.9</v>
      </c>
      <c r="D29">
        <v>12366.8</v>
      </c>
      <c r="E29">
        <v>12093.6</v>
      </c>
      <c r="F29">
        <v>12366.5</v>
      </c>
    </row>
    <row r="30" spans="1:6" x14ac:dyDescent="0.45">
      <c r="A30" t="s">
        <v>77</v>
      </c>
      <c r="B30" t="s">
        <v>76</v>
      </c>
      <c r="C30">
        <v>4442.6000000000004</v>
      </c>
      <c r="D30">
        <v>4050.6</v>
      </c>
      <c r="E30">
        <v>1914.8</v>
      </c>
      <c r="F30">
        <v>1925.7</v>
      </c>
    </row>
    <row r="31" spans="1:6" x14ac:dyDescent="0.45">
      <c r="A31" t="s">
        <v>79</v>
      </c>
      <c r="B31" t="s">
        <v>78</v>
      </c>
      <c r="C31">
        <v>38807.1</v>
      </c>
      <c r="D31">
        <v>36082.800000000003</v>
      </c>
      <c r="E31">
        <v>7369.1</v>
      </c>
      <c r="F31">
        <v>6200.6</v>
      </c>
    </row>
    <row r="32" spans="1:6" x14ac:dyDescent="0.45">
      <c r="A32" t="s">
        <v>81</v>
      </c>
      <c r="B32" t="s">
        <v>80</v>
      </c>
      <c r="C32">
        <v>9035.2999999999993</v>
      </c>
      <c r="D32">
        <v>9349.4</v>
      </c>
      <c r="E32">
        <v>8186.9</v>
      </c>
      <c r="F32">
        <v>11661.8</v>
      </c>
    </row>
    <row r="33" spans="1:6" x14ac:dyDescent="0.45">
      <c r="A33" t="s">
        <v>83</v>
      </c>
      <c r="B33" t="s">
        <v>82</v>
      </c>
      <c r="C33">
        <v>76745.5</v>
      </c>
      <c r="D33">
        <v>71422.2</v>
      </c>
      <c r="E33">
        <v>18076.8</v>
      </c>
      <c r="F33">
        <v>15173.5</v>
      </c>
    </row>
    <row r="34" spans="1:6" x14ac:dyDescent="0.45">
      <c r="A34" t="s">
        <v>85</v>
      </c>
      <c r="B34" t="s">
        <v>84</v>
      </c>
      <c r="C34">
        <v>49298.400000000001</v>
      </c>
      <c r="D34">
        <v>48196.9</v>
      </c>
      <c r="E34">
        <v>27353.599999999999</v>
      </c>
      <c r="F34">
        <v>26144</v>
      </c>
    </row>
    <row r="35" spans="1:6" x14ac:dyDescent="0.45">
      <c r="A35" t="s">
        <v>87</v>
      </c>
      <c r="B35" t="s">
        <v>86</v>
      </c>
      <c r="C35">
        <v>6835.9</v>
      </c>
      <c r="D35">
        <v>10854.7</v>
      </c>
      <c r="E35">
        <v>6817.4</v>
      </c>
      <c r="F35">
        <v>11330.3</v>
      </c>
    </row>
    <row r="36" spans="1:6" x14ac:dyDescent="0.45">
      <c r="A36" t="s">
        <v>89</v>
      </c>
      <c r="B36" t="s">
        <v>88</v>
      </c>
      <c r="C36">
        <v>47191.5</v>
      </c>
      <c r="D36">
        <v>46351.3</v>
      </c>
      <c r="E36">
        <v>51236</v>
      </c>
      <c r="F36">
        <v>50064.4</v>
      </c>
    </row>
    <row r="37" spans="1:6" x14ac:dyDescent="0.45">
      <c r="A37" t="s">
        <v>91</v>
      </c>
      <c r="B37" t="s">
        <v>90</v>
      </c>
      <c r="C37">
        <v>21229.1</v>
      </c>
      <c r="D37">
        <v>23117.5</v>
      </c>
      <c r="E37">
        <v>19229.400000000001</v>
      </c>
      <c r="F37">
        <v>22043.5</v>
      </c>
    </row>
    <row r="38" spans="1:6" x14ac:dyDescent="0.45">
      <c r="A38" t="s">
        <v>93</v>
      </c>
      <c r="B38" t="s">
        <v>92</v>
      </c>
      <c r="C38">
        <v>16470</v>
      </c>
      <c r="D38">
        <v>23084.1</v>
      </c>
      <c r="E38">
        <v>13816.6</v>
      </c>
      <c r="F38">
        <v>14433.7</v>
      </c>
    </row>
    <row r="39" spans="1:6" x14ac:dyDescent="0.45">
      <c r="A39" t="s">
        <v>95</v>
      </c>
      <c r="B39" t="s">
        <v>94</v>
      </c>
      <c r="C39">
        <v>43221.5</v>
      </c>
      <c r="D39">
        <v>35802.300000000003</v>
      </c>
      <c r="E39">
        <v>49155.5</v>
      </c>
      <c r="F39">
        <v>50146.8</v>
      </c>
    </row>
    <row r="40" spans="1:6" x14ac:dyDescent="0.45">
      <c r="A40" t="s">
        <v>97</v>
      </c>
      <c r="B40" t="s">
        <v>96</v>
      </c>
      <c r="C40">
        <v>3697.6</v>
      </c>
      <c r="D40">
        <v>3650.6</v>
      </c>
      <c r="E40">
        <v>725.5</v>
      </c>
      <c r="F40">
        <v>628.79999999999995</v>
      </c>
    </row>
    <row r="41" spans="1:6" x14ac:dyDescent="0.45">
      <c r="A41" t="s">
        <v>99</v>
      </c>
      <c r="B41" t="s">
        <v>98</v>
      </c>
      <c r="C41">
        <v>22232.799999999999</v>
      </c>
      <c r="D41">
        <v>25193.8</v>
      </c>
      <c r="E41">
        <v>27555.9</v>
      </c>
      <c r="F41">
        <v>25110</v>
      </c>
    </row>
    <row r="42" spans="1:6" x14ac:dyDescent="0.45">
      <c r="A42" t="s">
        <v>101</v>
      </c>
      <c r="B42" t="s">
        <v>100</v>
      </c>
      <c r="C42">
        <v>4903.2</v>
      </c>
      <c r="D42">
        <v>5032.8</v>
      </c>
      <c r="E42">
        <v>2935.3</v>
      </c>
      <c r="F42">
        <v>3227.3</v>
      </c>
    </row>
    <row r="43" spans="1:6" x14ac:dyDescent="0.45">
      <c r="A43" t="s">
        <v>103</v>
      </c>
      <c r="B43" t="s">
        <v>102</v>
      </c>
      <c r="C43">
        <v>36930.5</v>
      </c>
      <c r="D43">
        <v>35094.400000000001</v>
      </c>
      <c r="E43">
        <v>21598.799999999999</v>
      </c>
      <c r="F43">
        <v>22601</v>
      </c>
    </row>
    <row r="44" spans="1:6" x14ac:dyDescent="0.45">
      <c r="A44" t="s">
        <v>105</v>
      </c>
      <c r="B44" t="s">
        <v>104</v>
      </c>
      <c r="C44">
        <v>143524.6</v>
      </c>
      <c r="D44">
        <v>165791.79999999999</v>
      </c>
      <c r="E44">
        <v>122947.1</v>
      </c>
      <c r="F44">
        <v>154879.79999999999</v>
      </c>
    </row>
    <row r="45" spans="1:6" x14ac:dyDescent="0.45">
      <c r="A45" t="s">
        <v>107</v>
      </c>
      <c r="B45" t="s">
        <v>106</v>
      </c>
      <c r="C45">
        <v>12083.8</v>
      </c>
      <c r="D45">
        <v>13338</v>
      </c>
      <c r="E45">
        <v>9392.7000000000007</v>
      </c>
      <c r="F45">
        <v>8623</v>
      </c>
    </row>
    <row r="46" spans="1:6" x14ac:dyDescent="0.45">
      <c r="A46" t="s">
        <v>109</v>
      </c>
      <c r="B46" t="s">
        <v>108</v>
      </c>
      <c r="C46">
        <v>2003.5</v>
      </c>
      <c r="D46">
        <v>1903.6</v>
      </c>
      <c r="E46">
        <v>1411.4</v>
      </c>
      <c r="F46">
        <v>1284.0999999999999</v>
      </c>
    </row>
    <row r="47" spans="1:6" x14ac:dyDescent="0.45">
      <c r="A47" t="s">
        <v>111</v>
      </c>
      <c r="B47" t="s">
        <v>110</v>
      </c>
      <c r="C47">
        <v>52268.2</v>
      </c>
      <c r="D47">
        <v>73807</v>
      </c>
      <c r="E47">
        <v>17736.900000000001</v>
      </c>
      <c r="F47">
        <v>15176</v>
      </c>
    </row>
    <row r="48" spans="1:6" x14ac:dyDescent="0.45">
      <c r="A48" t="s">
        <v>113</v>
      </c>
      <c r="B48" t="s">
        <v>112</v>
      </c>
      <c r="C48">
        <v>29396.400000000001</v>
      </c>
      <c r="D48">
        <v>30369.599999999999</v>
      </c>
      <c r="E48">
        <v>25043</v>
      </c>
      <c r="F48">
        <v>19927.099999999999</v>
      </c>
    </row>
    <row r="49" spans="1:6" x14ac:dyDescent="0.45">
      <c r="A49" t="s">
        <v>115</v>
      </c>
      <c r="B49" t="s">
        <v>114</v>
      </c>
      <c r="C49">
        <v>7774.4</v>
      </c>
      <c r="D49">
        <v>7174</v>
      </c>
      <c r="E49">
        <v>14192.9</v>
      </c>
      <c r="F49">
        <v>14662.9</v>
      </c>
    </row>
    <row r="50" spans="1:6" x14ac:dyDescent="0.45">
      <c r="A50" t="s">
        <v>117</v>
      </c>
      <c r="B50" t="s">
        <v>116</v>
      </c>
      <c r="C50">
        <v>24093.4</v>
      </c>
      <c r="D50">
        <v>23212.799999999999</v>
      </c>
      <c r="E50">
        <v>24424.6</v>
      </c>
      <c r="F50">
        <v>23131.1</v>
      </c>
    </row>
    <row r="51" spans="1:6" x14ac:dyDescent="0.45">
      <c r="A51" t="s">
        <v>119</v>
      </c>
      <c r="B51" t="s">
        <v>118</v>
      </c>
      <c r="C51">
        <v>3757.2</v>
      </c>
      <c r="D51">
        <v>5045.8999999999996</v>
      </c>
      <c r="E51">
        <v>10359.1</v>
      </c>
      <c r="F51">
        <v>8796.2999999999993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4"/>
  <sheetViews>
    <sheetView workbookViewId="0">
      <pane ySplit="6" topLeftCell="A7" activePane="bottomLeft" state="frozen"/>
      <selection pane="bottomLeft"/>
    </sheetView>
  </sheetViews>
  <sheetFormatPr defaultRowHeight="14.25" x14ac:dyDescent="0.45"/>
  <cols>
    <col min="1" max="1" width="20" customWidth="1"/>
    <col min="2" max="2" width="10" customWidth="1"/>
    <col min="3" max="4" width="12" customWidth="1"/>
    <col min="5" max="6" width="20" customWidth="1"/>
    <col min="7" max="7" width="22" customWidth="1"/>
    <col min="8" max="8" width="16" customWidth="1"/>
  </cols>
  <sheetData>
    <row r="1" spans="1:8" ht="16.899999999999999" x14ac:dyDescent="0.5">
      <c r="A1" s="4" t="s">
        <v>195</v>
      </c>
    </row>
    <row r="2" spans="1:8" ht="100.05" customHeight="1" x14ac:dyDescent="0.45">
      <c r="A2" s="9" t="s">
        <v>196</v>
      </c>
      <c r="B2" s="10"/>
      <c r="C2" s="10"/>
      <c r="D2" s="10"/>
      <c r="E2" s="10"/>
      <c r="F2" s="10"/>
      <c r="G2" s="10"/>
      <c r="H2" s="10"/>
    </row>
    <row r="6" spans="1:8" x14ac:dyDescent="0.45">
      <c r="A6" s="7" t="s">
        <v>2</v>
      </c>
      <c r="B6" s="7" t="s">
        <v>3</v>
      </c>
      <c r="C6" s="7" t="s">
        <v>197</v>
      </c>
      <c r="D6" s="7" t="s">
        <v>198</v>
      </c>
      <c r="E6" s="7" t="s">
        <v>199</v>
      </c>
      <c r="F6" s="7" t="s">
        <v>200</v>
      </c>
      <c r="G6" s="7" t="s">
        <v>201</v>
      </c>
      <c r="H6" s="7" t="s">
        <v>202</v>
      </c>
    </row>
    <row r="7" spans="1:8" x14ac:dyDescent="0.45">
      <c r="A7" t="s">
        <v>5</v>
      </c>
      <c r="B7" t="s">
        <v>6</v>
      </c>
      <c r="C7">
        <f>IFERROR(INDEX(EPRI_DC_2023!$B$2:$B$45,MATCH($A7,EPRI_DC_2023!$A$2:$A$45,0))/1000,0)</f>
        <v>1489.2</v>
      </c>
      <c r="D7">
        <f>IFERROR(INDEX(EPRI_DC_2023!$C$2:$C$45,MATCH($A7,EPRI_DC_2023!$A$2:$A$45,0)),0)</f>
        <v>1.7100000000000001E-2</v>
      </c>
      <c r="E7">
        <f>IFERROR(INDEX(EIA861_sales!$D$4:$D$51,MATCH($B7,EIA861_sales!$A$4:$A$51,0))-INDEX(EIA861_sales!$C$4:$C$51,MATCH($B7,EIA861_sales!$A$4:$A$51,0)),"")</f>
        <v>-1269.5999999999985</v>
      </c>
      <c r="F7">
        <f>IFERROR(INDEX(EIA861_sales!$F$4:$F$51,MATCH($B7,EIA861_sales!$A$4:$A$51,0))-INDEX(EIA861_sales!$E$4:$E$51,MATCH($B7,EIA861_sales!$A$4:$A$51,0)),"")</f>
        <v>-2459.7999999999993</v>
      </c>
      <c r="G7" t="str">
        <f>IFERROR(IF(AND(OR(D7&gt;=Keys!$C$10,C7&gt;=Keys!$C$11),AND(F7&gt;0,F7&gt;Keys!$C$9*E7)),"industrial","commercial"),"commercial")</f>
        <v>commercial</v>
      </c>
      <c r="H7" t="str">
        <f>IF(ISNA(MATCH($A7,EPRI_DC_2023!$A$2:$A$45,0)),"n/a - missing DC data",IFERROR(IF(NOT(OR(D7&gt;=Keys!$C$10,C7&gt;=Keys!$C$11)),"n/a - immaterial",IF(OR(AND(E7&gt;0,E7&gt;Keys!$C$9*F7),AND(F7&gt;0,F7&gt;Keys!$C$9*E7)),"high","LOW - verify")),"n/a - missing DC data"))</f>
        <v>LOW - verify</v>
      </c>
    </row>
    <row r="8" spans="1:8" x14ac:dyDescent="0.45">
      <c r="A8" t="s">
        <v>7</v>
      </c>
      <c r="B8" t="s">
        <v>8</v>
      </c>
      <c r="C8">
        <f>IFERROR(INDEX(EPRI_DC_2023!$B$2:$B$45,MATCH($A8,EPRI_DC_2023!$A$2:$A$45,0))/1000,0)</f>
        <v>6253.28</v>
      </c>
      <c r="D8">
        <f>IFERROR(INDEX(EPRI_DC_2023!$C$2:$C$45,MATCH($A8,EPRI_DC_2023!$A$2:$A$45,0)),0)</f>
        <v>7.4300000000000005E-2</v>
      </c>
      <c r="E8">
        <f>IFERROR(INDEX(EIA861_sales!$D$4:$D$51,MATCH($B8,EIA861_sales!$A$4:$A$51,0))-INDEX(EIA861_sales!$C$4:$C$51,MATCH($B8,EIA861_sales!$A$4:$A$51,0)),"")</f>
        <v>2936.2000000000007</v>
      </c>
      <c r="F8">
        <f>IFERROR(INDEX(EIA861_sales!$F$4:$F$51,MATCH($B8,EIA861_sales!$A$4:$A$51,0))-INDEX(EIA861_sales!$E$4:$E$51,MATCH($B8,EIA861_sales!$A$4:$A$51,0)),"")</f>
        <v>282.69999999999891</v>
      </c>
      <c r="G8" t="str">
        <f>IFERROR(IF(AND(OR(D8&gt;=Keys!$C$10,C8&gt;=Keys!$C$11),AND(F8&gt;0,F8&gt;Keys!$C$9*E8)),"industrial","commercial"),"commercial")</f>
        <v>commercial</v>
      </c>
      <c r="H8" t="str">
        <f>IF(ISNA(MATCH($A8,EPRI_DC_2023!$A$2:$A$45,0)),"n/a - missing DC data",IFERROR(IF(NOT(OR(D8&gt;=Keys!$C$10,C8&gt;=Keys!$C$11)),"n/a - immaterial",IF(OR(AND(E8&gt;0,E8&gt;Keys!$C$9*F8),AND(F8&gt;0,F8&gt;Keys!$C$9*E8)),"high","LOW - verify")),"n/a - missing DC data"))</f>
        <v>high</v>
      </c>
    </row>
    <row r="9" spans="1:8" x14ac:dyDescent="0.45">
      <c r="A9" t="s">
        <v>10</v>
      </c>
      <c r="B9" t="s">
        <v>11</v>
      </c>
      <c r="C9">
        <f>IFERROR(INDEX(EPRI_DC_2023!$B$2:$B$45,MATCH($A9,EPRI_DC_2023!$A$2:$A$45,0))/1000,0)</f>
        <v>0</v>
      </c>
      <c r="D9">
        <f>IFERROR(INDEX(EPRI_DC_2023!$C$2:$C$45,MATCH($A9,EPRI_DC_2023!$A$2:$A$45,0)),0)</f>
        <v>0</v>
      </c>
      <c r="E9">
        <f>IFERROR(INDEX(EIA861_sales!$D$4:$D$51,MATCH($B9,EIA861_sales!$A$4:$A$51,0))-INDEX(EIA861_sales!$C$4:$C$51,MATCH($B9,EIA861_sales!$A$4:$A$51,0)),"")</f>
        <v>-584.19999999999891</v>
      </c>
      <c r="F9">
        <f>IFERROR(INDEX(EIA861_sales!$F$4:$F$51,MATCH($B9,EIA861_sales!$A$4:$A$51,0))-INDEX(EIA861_sales!$E$4:$E$51,MATCH($B9,EIA861_sales!$A$4:$A$51,0)),"")</f>
        <v>516.20000000000073</v>
      </c>
      <c r="G9" t="str">
        <f>IFERROR(IF(AND(OR(D9&gt;=Keys!$C$10,C9&gt;=Keys!$C$11),AND(F9&gt;0,F9&gt;Keys!$C$9*E9)),"industrial","commercial"),"commercial")</f>
        <v>commercial</v>
      </c>
      <c r="H9" t="str">
        <f>IF(ISNA(MATCH($A9,EPRI_DC_2023!$A$2:$A$45,0)),"n/a - missing DC data",IFERROR(IF(NOT(OR(D9&gt;=Keys!$C$10,C9&gt;=Keys!$C$11)),"n/a - immaterial",IF(OR(AND(E9&gt;0,E9&gt;Keys!$C$9*F9),AND(F9&gt;0,F9&gt;Keys!$C$9*E9)),"high","LOW - verify")),"n/a - missing DC data"))</f>
        <v>n/a - missing DC data</v>
      </c>
    </row>
    <row r="10" spans="1:8" x14ac:dyDescent="0.45">
      <c r="A10" t="s">
        <v>12</v>
      </c>
      <c r="B10" t="s">
        <v>13</v>
      </c>
      <c r="C10">
        <f>IFERROR(INDEX(EPRI_DC_2023!$B$2:$B$45,MATCH($A10,EPRI_DC_2023!$A$2:$A$45,0))/1000,0)</f>
        <v>9313.6190000000006</v>
      </c>
      <c r="D10">
        <f>IFERROR(INDEX(EPRI_DC_2023!$C$2:$C$45,MATCH($A10,EPRI_DC_2023!$A$2:$A$45,0)),0)</f>
        <v>3.6999999999999998E-2</v>
      </c>
      <c r="E10">
        <f>IFERROR(INDEX(EIA861_sales!$D$4:$D$51,MATCH($B10,EIA861_sales!$A$4:$A$51,0))-INDEX(EIA861_sales!$C$4:$C$51,MATCH($B10,EIA861_sales!$A$4:$A$51,0)),"")</f>
        <v>-2850.8999999999942</v>
      </c>
      <c r="F10">
        <f>IFERROR(INDEX(EIA861_sales!$F$4:$F$51,MATCH($B10,EIA861_sales!$A$4:$A$51,0))-INDEX(EIA861_sales!$E$4:$E$51,MATCH($B10,EIA861_sales!$A$4:$A$51,0)),"")</f>
        <v>-6492.8000000000029</v>
      </c>
      <c r="G10" t="str">
        <f>IFERROR(IF(AND(OR(D10&gt;=Keys!$C$10,C10&gt;=Keys!$C$11),AND(F10&gt;0,F10&gt;Keys!$C$9*E10)),"industrial","commercial"),"commercial")</f>
        <v>commercial</v>
      </c>
      <c r="H10" t="str">
        <f>IF(ISNA(MATCH($A10,EPRI_DC_2023!$A$2:$A$45,0)),"n/a - missing DC data",IFERROR(IF(NOT(OR(D10&gt;=Keys!$C$10,C10&gt;=Keys!$C$11)),"n/a - immaterial",IF(OR(AND(E10&gt;0,E10&gt;Keys!$C$9*F10),AND(F10&gt;0,F10&gt;Keys!$C$9*E10)),"high","LOW - verify")),"n/a - missing DC data"))</f>
        <v>LOW - verify</v>
      </c>
    </row>
    <row r="11" spans="1:8" x14ac:dyDescent="0.45">
      <c r="A11" t="s">
        <v>15</v>
      </c>
      <c r="B11" t="s">
        <v>16</v>
      </c>
      <c r="C11">
        <f>IFERROR(INDEX(EPRI_DC_2023!$B$2:$B$45,MATCH($A11,EPRI_DC_2023!$A$2:$A$45,0))/1000,0)</f>
        <v>1509.64</v>
      </c>
      <c r="D11">
        <f>IFERROR(INDEX(EPRI_DC_2023!$C$2:$C$45,MATCH($A11,EPRI_DC_2023!$A$2:$A$45,0)),0)</f>
        <v>2.6599999999999999E-2</v>
      </c>
      <c r="E11">
        <f>IFERROR(INDEX(EIA861_sales!$D$4:$D$51,MATCH($B11,EIA861_sales!$A$4:$A$51,0))-INDEX(EIA861_sales!$C$4:$C$51,MATCH($B11,EIA861_sales!$A$4:$A$51,0)),"")</f>
        <v>-325.59999999999854</v>
      </c>
      <c r="F11">
        <f>IFERROR(INDEX(EIA861_sales!$F$4:$F$51,MATCH($B11,EIA861_sales!$A$4:$A$51,0))-INDEX(EIA861_sales!$E$4:$E$51,MATCH($B11,EIA861_sales!$A$4:$A$51,0)),"")</f>
        <v>-1268.5</v>
      </c>
      <c r="G11" t="str">
        <f>IFERROR(IF(AND(OR(D11&gt;=Keys!$C$10,C11&gt;=Keys!$C$11),AND(F11&gt;0,F11&gt;Keys!$C$9*E11)),"industrial","commercial"),"commercial")</f>
        <v>commercial</v>
      </c>
      <c r="H11" t="str">
        <f>IF(ISNA(MATCH($A11,EPRI_DC_2023!$A$2:$A$45,0)),"n/a - missing DC data",IFERROR(IF(NOT(OR(D11&gt;=Keys!$C$10,C11&gt;=Keys!$C$11)),"n/a - immaterial",IF(OR(AND(E11&gt;0,E11&gt;Keys!$C$9*F11),AND(F11&gt;0,F11&gt;Keys!$C$9*E11)),"high","LOW - verify")),"n/a - missing DC data"))</f>
        <v>LOW - verify</v>
      </c>
    </row>
    <row r="12" spans="1:8" x14ac:dyDescent="0.45">
      <c r="A12" t="s">
        <v>17</v>
      </c>
      <c r="B12" t="s">
        <v>18</v>
      </c>
      <c r="C12">
        <f>IFERROR(INDEX(EPRI_DC_2023!$B$2:$B$45,MATCH($A12,EPRI_DC_2023!$A$2:$A$45,0))/1000,0)</f>
        <v>262.8</v>
      </c>
      <c r="D12">
        <f>IFERROR(INDEX(EPRI_DC_2023!$C$2:$C$45,MATCH($A12,EPRI_DC_2023!$A$2:$A$45,0)),0)</f>
        <v>9.4999999999999998E-3</v>
      </c>
      <c r="E12">
        <f>IFERROR(INDEX(EIA861_sales!$D$4:$D$51,MATCH($B12,EIA861_sales!$A$4:$A$51,0))-INDEX(EIA861_sales!$C$4:$C$51,MATCH($B12,EIA861_sales!$A$4:$A$51,0)),"")</f>
        <v>-1007.5</v>
      </c>
      <c r="F12">
        <f>IFERROR(INDEX(EIA861_sales!$F$4:$F$51,MATCH($B12,EIA861_sales!$A$4:$A$51,0))-INDEX(EIA861_sales!$E$4:$E$51,MATCH($B12,EIA861_sales!$A$4:$A$51,0)),"")</f>
        <v>-630.59999999999991</v>
      </c>
      <c r="G12" t="str">
        <f>IFERROR(IF(AND(OR(D12&gt;=Keys!$C$10,C12&gt;=Keys!$C$11),AND(F12&gt;0,F12&gt;Keys!$C$9*E12)),"industrial","commercial"),"commercial")</f>
        <v>commercial</v>
      </c>
      <c r="H12" t="str">
        <f>IF(ISNA(MATCH($A12,EPRI_DC_2023!$A$2:$A$45,0)),"n/a - missing DC data",IFERROR(IF(NOT(OR(D12&gt;=Keys!$C$10,C12&gt;=Keys!$C$11)),"n/a - immaterial",IF(OR(AND(E12&gt;0,E12&gt;Keys!$C$9*F12),AND(F12&gt;0,F12&gt;Keys!$C$9*E12)),"high","LOW - verify")),"n/a - missing DC data"))</f>
        <v>n/a - immaterial</v>
      </c>
    </row>
    <row r="13" spans="1:8" x14ac:dyDescent="0.45">
      <c r="A13" t="s">
        <v>19</v>
      </c>
      <c r="B13" t="s">
        <v>20</v>
      </c>
      <c r="C13">
        <f>IFERROR(INDEX(EPRI_DC_2023!$B$2:$B$45,MATCH($A13,EPRI_DC_2023!$A$2:$A$45,0))/1000,0)</f>
        <v>0</v>
      </c>
      <c r="D13">
        <f>IFERROR(INDEX(EPRI_DC_2023!$C$2:$C$45,MATCH($A13,EPRI_DC_2023!$A$2:$A$45,0)),0)</f>
        <v>0</v>
      </c>
      <c r="E13">
        <f>IFERROR(INDEX(EIA861_sales!$D$4:$D$51,MATCH($B13,EIA861_sales!$A$4:$A$51,0))-INDEX(EIA861_sales!$C$4:$C$51,MATCH($B13,EIA861_sales!$A$4:$A$51,0)),"")</f>
        <v>-193.80000000000018</v>
      </c>
      <c r="F13">
        <f>IFERROR(INDEX(EIA861_sales!$F$4:$F$51,MATCH($B13,EIA861_sales!$A$4:$A$51,0))-INDEX(EIA861_sales!$E$4:$E$51,MATCH($B13,EIA861_sales!$A$4:$A$51,0)),"")</f>
        <v>-920.3</v>
      </c>
      <c r="G13" t="str">
        <f>IFERROR(IF(AND(OR(D13&gt;=Keys!$C$10,C13&gt;=Keys!$C$11),AND(F13&gt;0,F13&gt;Keys!$C$9*E13)),"industrial","commercial"),"commercial")</f>
        <v>commercial</v>
      </c>
      <c r="H13" t="str">
        <f>IF(ISNA(MATCH($A13,EPRI_DC_2023!$A$2:$A$45,0)),"n/a - missing DC data",IFERROR(IF(NOT(OR(D13&gt;=Keys!$C$10,C13&gt;=Keys!$C$11)),"n/a - immaterial",IF(OR(AND(E13&gt;0,E13&gt;Keys!$C$9*F13),AND(F13&gt;0,F13&gt;Keys!$C$9*E13)),"high","LOW - verify")),"n/a - missing DC data"))</f>
        <v>n/a - missing DC data</v>
      </c>
    </row>
    <row r="14" spans="1:8" x14ac:dyDescent="0.45">
      <c r="A14" t="s">
        <v>22</v>
      </c>
      <c r="B14" t="s">
        <v>23</v>
      </c>
      <c r="C14">
        <f>IFERROR(INDEX(EPRI_DC_2023!$B$2:$B$45,MATCH($A14,EPRI_DC_2023!$A$2:$A$45,0))/1000,0)</f>
        <v>1384.08</v>
      </c>
      <c r="D14">
        <f>IFERROR(INDEX(EPRI_DC_2023!$C$2:$C$45,MATCH($A14,EPRI_DC_2023!$A$2:$A$45,0)),0)</f>
        <v>5.5999999999999999E-3</v>
      </c>
      <c r="E14">
        <f>IFERROR(INDEX(EIA861_sales!$D$4:$D$51,MATCH($B14,EIA861_sales!$A$4:$A$51,0))-INDEX(EIA861_sales!$C$4:$C$51,MATCH($B14,EIA861_sales!$A$4:$A$51,0)),"")</f>
        <v>990.09999999999127</v>
      </c>
      <c r="F14">
        <f>IFERROR(INDEX(EIA861_sales!$F$4:$F$51,MATCH($B14,EIA861_sales!$A$4:$A$51,0))-INDEX(EIA861_sales!$E$4:$E$51,MATCH($B14,EIA861_sales!$A$4:$A$51,0)),"")</f>
        <v>1119.5</v>
      </c>
      <c r="G14" t="str">
        <f>IFERROR(IF(AND(OR(D14&gt;=Keys!$C$10,C14&gt;=Keys!$C$11),AND(F14&gt;0,F14&gt;Keys!$C$9*E14)),"industrial","commercial"),"commercial")</f>
        <v>commercial</v>
      </c>
      <c r="H14" t="str">
        <f>IF(ISNA(MATCH($A14,EPRI_DC_2023!$A$2:$A$45,0)),"n/a - missing DC data",IFERROR(IF(NOT(OR(D14&gt;=Keys!$C$10,C14&gt;=Keys!$C$11)),"n/a - immaterial",IF(OR(AND(E14&gt;0,E14&gt;Keys!$C$9*F14),AND(F14&gt;0,F14&gt;Keys!$C$9*E14)),"high","LOW - verify")),"n/a - missing DC data"))</f>
        <v>LOW - verify</v>
      </c>
    </row>
    <row r="15" spans="1:8" x14ac:dyDescent="0.45">
      <c r="A15" t="s">
        <v>26</v>
      </c>
      <c r="B15" t="s">
        <v>27</v>
      </c>
      <c r="C15">
        <f>IFERROR(INDEX(EPRI_DC_2023!$B$2:$B$45,MATCH($A15,EPRI_DC_2023!$A$2:$A$45,0))/1000,0)</f>
        <v>6175.3909999999996</v>
      </c>
      <c r="D15">
        <f>IFERROR(INDEX(EPRI_DC_2023!$C$2:$C$45,MATCH($A15,EPRI_DC_2023!$A$2:$A$45,0)),0)</f>
        <v>4.2599999999999999E-2</v>
      </c>
      <c r="E15">
        <f>IFERROR(INDEX(EIA861_sales!$D$4:$D$51,MATCH($B15,EIA861_sales!$A$4:$A$51,0))-INDEX(EIA861_sales!$C$4:$C$51,MATCH($B15,EIA861_sales!$A$4:$A$51,0)),"")</f>
        <v>4093</v>
      </c>
      <c r="F15">
        <f>IFERROR(INDEX(EIA861_sales!$F$4:$F$51,MATCH($B15,EIA861_sales!$A$4:$A$51,0))-INDEX(EIA861_sales!$E$4:$E$51,MATCH($B15,EIA861_sales!$A$4:$A$51,0)),"")</f>
        <v>-628.29999999999927</v>
      </c>
      <c r="G15" t="str">
        <f>IFERROR(IF(AND(OR(D15&gt;=Keys!$C$10,C15&gt;=Keys!$C$11),AND(F15&gt;0,F15&gt;Keys!$C$9*E15)),"industrial","commercial"),"commercial")</f>
        <v>commercial</v>
      </c>
      <c r="H15" t="str">
        <f>IF(ISNA(MATCH($A15,EPRI_DC_2023!$A$2:$A$45,0)),"n/a - missing DC data",IFERROR(IF(NOT(OR(D15&gt;=Keys!$C$10,C15&gt;=Keys!$C$11)),"n/a - immaterial",IF(OR(AND(E15&gt;0,E15&gt;Keys!$C$9*F15),AND(F15&gt;0,F15&gt;Keys!$C$9*E15)),"high","LOW - verify")),"n/a - missing DC data"))</f>
        <v>high</v>
      </c>
    </row>
    <row r="16" spans="1:8" x14ac:dyDescent="0.45">
      <c r="A16" t="s">
        <v>29</v>
      </c>
      <c r="B16" t="s">
        <v>30</v>
      </c>
      <c r="C16">
        <f>IFERROR(INDEX(EPRI_DC_2023!$B$2:$B$45,MATCH($A16,EPRI_DC_2023!$A$2:$A$45,0))/1000,0)</f>
        <v>148.91999999999999</v>
      </c>
      <c r="D16">
        <f>IFERROR(INDEX(EPRI_DC_2023!$C$2:$C$45,MATCH($A16,EPRI_DC_2023!$A$2:$A$45,0)),0)</f>
        <v>5.7000000000000002E-3</v>
      </c>
      <c r="E16">
        <f>IFERROR(INDEX(EIA861_sales!$D$4:$D$51,MATCH($B16,EIA861_sales!$A$4:$A$51,0))-INDEX(EIA861_sales!$C$4:$C$51,MATCH($B16,EIA861_sales!$A$4:$A$51,0)),"")</f>
        <v>405.20000000000073</v>
      </c>
      <c r="F16">
        <f>IFERROR(INDEX(EIA861_sales!$F$4:$F$51,MATCH($B16,EIA861_sales!$A$4:$A$51,0))-INDEX(EIA861_sales!$E$4:$E$51,MATCH($B16,EIA861_sales!$A$4:$A$51,0)),"")</f>
        <v>149.60000000000036</v>
      </c>
      <c r="G16" t="str">
        <f>IFERROR(IF(AND(OR(D16&gt;=Keys!$C$10,C16&gt;=Keys!$C$11),AND(F16&gt;0,F16&gt;Keys!$C$9*E16)),"industrial","commercial"),"commercial")</f>
        <v>commercial</v>
      </c>
      <c r="H16" t="str">
        <f>IF(ISNA(MATCH($A16,EPRI_DC_2023!$A$2:$A$45,0)),"n/a - missing DC data",IFERROR(IF(NOT(OR(D16&gt;=Keys!$C$10,C16&gt;=Keys!$C$11)),"n/a - immaterial",IF(OR(AND(E16&gt;0,E16&gt;Keys!$C$9*F16),AND(F16&gt;0,F16&gt;Keys!$C$9*E16)),"high","LOW - verify")),"n/a - missing DC data"))</f>
        <v>n/a - immaterial</v>
      </c>
    </row>
    <row r="17" spans="1:8" x14ac:dyDescent="0.45">
      <c r="A17" t="s">
        <v>33</v>
      </c>
      <c r="B17" t="s">
        <v>34</v>
      </c>
      <c r="C17">
        <f>IFERROR(INDEX(EPRI_DC_2023!$B$2:$B$45,MATCH($A17,EPRI_DC_2023!$A$2:$A$45,0))/1000,0)</f>
        <v>7450.1760000000004</v>
      </c>
      <c r="D17">
        <f>IFERROR(INDEX(EPRI_DC_2023!$C$2:$C$45,MATCH($A17,EPRI_DC_2023!$A$2:$A$45,0)),0)</f>
        <v>5.4800000000000001E-2</v>
      </c>
      <c r="E17">
        <f>IFERROR(INDEX(EIA861_sales!$D$4:$D$51,MATCH($B17,EIA861_sales!$A$4:$A$51,0))-INDEX(EIA861_sales!$C$4:$C$51,MATCH($B17,EIA861_sales!$A$4:$A$51,0)),"")</f>
        <v>-5186.5</v>
      </c>
      <c r="F17">
        <f>IFERROR(INDEX(EIA861_sales!$F$4:$F$51,MATCH($B17,EIA861_sales!$A$4:$A$51,0))-INDEX(EIA861_sales!$E$4:$E$51,MATCH($B17,EIA861_sales!$A$4:$A$51,0)),"")</f>
        <v>-2847.2999999999956</v>
      </c>
      <c r="G17" t="str">
        <f>IFERROR(IF(AND(OR(D17&gt;=Keys!$C$10,C17&gt;=Keys!$C$11),AND(F17&gt;0,F17&gt;Keys!$C$9*E17)),"industrial","commercial"),"commercial")</f>
        <v>commercial</v>
      </c>
      <c r="H17" t="str">
        <f>IF(ISNA(MATCH($A17,EPRI_DC_2023!$A$2:$A$45,0)),"n/a - missing DC data",IFERROR(IF(NOT(OR(D17&gt;=Keys!$C$10,C17&gt;=Keys!$C$11)),"n/a - immaterial",IF(OR(AND(E17&gt;0,E17&gt;Keys!$C$9*F17),AND(F17&gt;0,F17&gt;Keys!$C$9*E17)),"high","LOW - verify")),"n/a - missing DC data"))</f>
        <v>LOW - verify</v>
      </c>
    </row>
    <row r="18" spans="1:8" x14ac:dyDescent="0.45">
      <c r="A18" t="s">
        <v>37</v>
      </c>
      <c r="B18" t="s">
        <v>38</v>
      </c>
      <c r="C18">
        <f>IFERROR(INDEX(EPRI_DC_2023!$B$2:$B$45,MATCH($A18,EPRI_DC_2023!$A$2:$A$45,0))/1000,0)</f>
        <v>192.72</v>
      </c>
      <c r="D18">
        <f>IFERROR(INDEX(EPRI_DC_2023!$C$2:$C$45,MATCH($A18,EPRI_DC_2023!$A$2:$A$45,0)),0)</f>
        <v>1.9E-3</v>
      </c>
      <c r="E18">
        <f>IFERROR(INDEX(EIA861_sales!$D$4:$D$51,MATCH($B18,EIA861_sales!$A$4:$A$51,0))-INDEX(EIA861_sales!$C$4:$C$51,MATCH($B18,EIA861_sales!$A$4:$A$51,0)),"")</f>
        <v>-1288.7999999999993</v>
      </c>
      <c r="F18">
        <f>IFERROR(INDEX(EIA861_sales!$F$4:$F$51,MATCH($B18,EIA861_sales!$A$4:$A$51,0))-INDEX(EIA861_sales!$E$4:$E$51,MATCH($B18,EIA861_sales!$A$4:$A$51,0)),"")</f>
        <v>-3967.5</v>
      </c>
      <c r="G18" t="str">
        <f>IFERROR(IF(AND(OR(D18&gt;=Keys!$C$10,C18&gt;=Keys!$C$11),AND(F18&gt;0,F18&gt;Keys!$C$9*E18)),"industrial","commercial"),"commercial")</f>
        <v>commercial</v>
      </c>
      <c r="H18" t="str">
        <f>IF(ISNA(MATCH($A18,EPRI_DC_2023!$A$2:$A$45,0)),"n/a - missing DC data",IFERROR(IF(NOT(OR(D18&gt;=Keys!$C$10,C18&gt;=Keys!$C$11)),"n/a - immaterial",IF(OR(AND(E18&gt;0,E18&gt;Keys!$C$9*F18),AND(F18&gt;0,F18&gt;Keys!$C$9*E18)),"high","LOW - verify")),"n/a - missing DC data"))</f>
        <v>n/a - immaterial</v>
      </c>
    </row>
    <row r="19" spans="1:8" x14ac:dyDescent="0.45">
      <c r="A19" t="s">
        <v>1</v>
      </c>
      <c r="B19" t="s">
        <v>41</v>
      </c>
      <c r="C19">
        <f>IFERROR(INDEX(EPRI_DC_2023!$B$2:$B$45,MATCH($A19,EPRI_DC_2023!$A$2:$A$45,0))/1000,0)</f>
        <v>6193.32</v>
      </c>
      <c r="D19">
        <f>IFERROR(INDEX(EPRI_DC_2023!$C$2:$C$45,MATCH($A19,EPRI_DC_2023!$A$2:$A$45,0)),0)</f>
        <v>0.1143</v>
      </c>
      <c r="E19">
        <f>IFERROR(INDEX(EIA861_sales!$D$4:$D$51,MATCH($B19,EIA861_sales!$A$4:$A$51,0))-INDEX(EIA861_sales!$C$4:$C$51,MATCH($B19,EIA861_sales!$A$4:$A$51,0)),"")</f>
        <v>183.19999999999891</v>
      </c>
      <c r="F19">
        <f>IFERROR(INDEX(EIA861_sales!$F$4:$F$51,MATCH($B19,EIA861_sales!$A$4:$A$51,0))-INDEX(EIA861_sales!$E$4:$E$51,MATCH($B19,EIA861_sales!$A$4:$A$51,0)),"")</f>
        <v>3264.9000000000015</v>
      </c>
      <c r="G19" t="str">
        <f>IFERROR(IF(AND(OR(D19&gt;=Keys!$C$10,C19&gt;=Keys!$C$11),AND(F19&gt;0,F19&gt;Keys!$C$9*E19)),"industrial","commercial"),"commercial")</f>
        <v>industrial</v>
      </c>
      <c r="H19" t="str">
        <f>IF(ISNA(MATCH($A19,EPRI_DC_2023!$A$2:$A$45,0)),"n/a - missing DC data",IFERROR(IF(NOT(OR(D19&gt;=Keys!$C$10,C19&gt;=Keys!$C$11)),"n/a - immaterial",IF(OR(AND(E19&gt;0,E19&gt;Keys!$C$9*F19),AND(F19&gt;0,F19&gt;Keys!$C$9*E19)),"high","LOW - verify")),"n/a - missing DC data"))</f>
        <v>high</v>
      </c>
    </row>
    <row r="20" spans="1:8" x14ac:dyDescent="0.45">
      <c r="A20" t="s">
        <v>42</v>
      </c>
      <c r="B20" t="s">
        <v>43</v>
      </c>
      <c r="C20">
        <f>IFERROR(INDEX(EPRI_DC_2023!$B$2:$B$45,MATCH($A20,EPRI_DC_2023!$A$2:$A$45,0))/1000,0)</f>
        <v>8.76</v>
      </c>
      <c r="D20">
        <f>IFERROR(INDEX(EPRI_DC_2023!$C$2:$C$45,MATCH($A20,EPRI_DC_2023!$A$2:$A$45,0)),0)</f>
        <v>1E-4</v>
      </c>
      <c r="E20">
        <f>IFERROR(INDEX(EIA861_sales!$D$4:$D$51,MATCH($B20,EIA861_sales!$A$4:$A$51,0))-INDEX(EIA861_sales!$C$4:$C$51,MATCH($B20,EIA861_sales!$A$4:$A$51,0)),"")</f>
        <v>-441.5</v>
      </c>
      <c r="F20">
        <f>IFERROR(INDEX(EIA861_sales!$F$4:$F$51,MATCH($B20,EIA861_sales!$A$4:$A$51,0))-INDEX(EIA861_sales!$E$4:$E$51,MATCH($B20,EIA861_sales!$A$4:$A$51,0)),"")</f>
        <v>-171.70000000000073</v>
      </c>
      <c r="G20" t="str">
        <f>IFERROR(IF(AND(OR(D20&gt;=Keys!$C$10,C20&gt;=Keys!$C$11),AND(F20&gt;0,F20&gt;Keys!$C$9*E20)),"industrial","commercial"),"commercial")</f>
        <v>commercial</v>
      </c>
      <c r="H20" t="str">
        <f>IF(ISNA(MATCH($A20,EPRI_DC_2023!$A$2:$A$45,0)),"n/a - missing DC data",IFERROR(IF(NOT(OR(D20&gt;=Keys!$C$10,C20&gt;=Keys!$C$11)),"n/a - immaterial",IF(OR(AND(E20&gt;0,E20&gt;Keys!$C$9*F20),AND(F20&gt;0,F20&gt;Keys!$C$9*E20)),"high","LOW - verify")),"n/a - missing DC data"))</f>
        <v>n/a - immaterial</v>
      </c>
    </row>
    <row r="21" spans="1:8" x14ac:dyDescent="0.45">
      <c r="A21" t="s">
        <v>45</v>
      </c>
      <c r="B21" t="s">
        <v>46</v>
      </c>
      <c r="C21">
        <f>IFERROR(INDEX(EPRI_DC_2023!$B$2:$B$45,MATCH($A21,EPRI_DC_2023!$A$2:$A$45,0))/1000,0)</f>
        <v>1620</v>
      </c>
      <c r="D21">
        <f>IFERROR(INDEX(EPRI_DC_2023!$C$2:$C$45,MATCH($A21,EPRI_DC_2023!$A$2:$A$45,0)),0)</f>
        <v>2.1499999999999998E-2</v>
      </c>
      <c r="E21">
        <f>IFERROR(INDEX(EIA861_sales!$D$4:$D$51,MATCH($B21,EIA861_sales!$A$4:$A$51,0))-INDEX(EIA861_sales!$C$4:$C$51,MATCH($B21,EIA861_sales!$A$4:$A$51,0)),"")</f>
        <v>-677.29999999999927</v>
      </c>
      <c r="F21">
        <f>IFERROR(INDEX(EIA861_sales!$F$4:$F$51,MATCH($B21,EIA861_sales!$A$4:$A$51,0))-INDEX(EIA861_sales!$E$4:$E$51,MATCH($B21,EIA861_sales!$A$4:$A$51,0)),"")</f>
        <v>-1550.3000000000029</v>
      </c>
      <c r="G21" t="str">
        <f>IFERROR(IF(AND(OR(D21&gt;=Keys!$C$10,C21&gt;=Keys!$C$11),AND(F21&gt;0,F21&gt;Keys!$C$9*E21)),"industrial","commercial"),"commercial")</f>
        <v>commercial</v>
      </c>
      <c r="H21" t="str">
        <f>IF(ISNA(MATCH($A21,EPRI_DC_2023!$A$2:$A$45,0)),"n/a - missing DC data",IFERROR(IF(NOT(OR(D21&gt;=Keys!$C$10,C21&gt;=Keys!$C$11)),"n/a - immaterial",IF(OR(AND(E21&gt;0,E21&gt;Keys!$C$9*F21),AND(F21&gt;0,F21&gt;Keys!$C$9*E21)),"high","LOW - verify")),"n/a - missing DC data"))</f>
        <v>LOW - verify</v>
      </c>
    </row>
    <row r="22" spans="1:8" x14ac:dyDescent="0.45">
      <c r="A22" t="s">
        <v>49</v>
      </c>
      <c r="B22" t="s">
        <v>50</v>
      </c>
      <c r="C22">
        <f>IFERROR(INDEX(EPRI_DC_2023!$B$2:$B$45,MATCH($A22,EPRI_DC_2023!$A$2:$A$45,0))/1000,0)</f>
        <v>78.84</v>
      </c>
      <c r="D22">
        <f>IFERROR(INDEX(EPRI_DC_2023!$C$2:$C$45,MATCH($A22,EPRI_DC_2023!$A$2:$A$45,0)),0)</f>
        <v>8.0000000000000004E-4</v>
      </c>
      <c r="E22">
        <f>IFERROR(INDEX(EIA861_sales!$D$4:$D$51,MATCH($B22,EIA861_sales!$A$4:$A$51,0))-INDEX(EIA861_sales!$C$4:$C$51,MATCH($B22,EIA861_sales!$A$4:$A$51,0)),"")</f>
        <v>-947.70000000000073</v>
      </c>
      <c r="F22">
        <f>IFERROR(INDEX(EIA861_sales!$F$4:$F$51,MATCH($B22,EIA861_sales!$A$4:$A$51,0))-INDEX(EIA861_sales!$E$4:$E$51,MATCH($B22,EIA861_sales!$A$4:$A$51,0)),"")</f>
        <v>2479.4000000000015</v>
      </c>
      <c r="G22" t="str">
        <f>IFERROR(IF(AND(OR(D22&gt;=Keys!$C$10,C22&gt;=Keys!$C$11),AND(F22&gt;0,F22&gt;Keys!$C$9*E22)),"industrial","commercial"),"commercial")</f>
        <v>commercial</v>
      </c>
      <c r="H22" t="str">
        <f>IF(ISNA(MATCH($A22,EPRI_DC_2023!$A$2:$A$45,0)),"n/a - missing DC data",IFERROR(IF(NOT(OR(D22&gt;=Keys!$C$10,C22&gt;=Keys!$C$11)),"n/a - immaterial",IF(OR(AND(E22&gt;0,E22&gt;Keys!$C$9*F22),AND(F22&gt;0,F22&gt;Keys!$C$9*E22)),"high","LOW - verify")),"n/a - missing DC data"))</f>
        <v>n/a - immaterial</v>
      </c>
    </row>
    <row r="23" spans="1:8" x14ac:dyDescent="0.45">
      <c r="A23" t="s">
        <v>53</v>
      </c>
      <c r="B23" t="s">
        <v>54</v>
      </c>
      <c r="C23">
        <f>IFERROR(INDEX(EPRI_DC_2023!$B$2:$B$45,MATCH($A23,EPRI_DC_2023!$A$2:$A$45,0))/1000,0)</f>
        <v>26.28</v>
      </c>
      <c r="D23">
        <f>IFERROR(INDEX(EPRI_DC_2023!$C$2:$C$45,MATCH($A23,EPRI_DC_2023!$A$2:$A$45,0)),0)</f>
        <v>2.5999999999999999E-3</v>
      </c>
      <c r="E23">
        <f>IFERROR(INDEX(EIA861_sales!$D$4:$D$51,MATCH($B23,EIA861_sales!$A$4:$A$51,0))-INDEX(EIA861_sales!$C$4:$C$51,MATCH($B23,EIA861_sales!$A$4:$A$51,0)),"")</f>
        <v>-430.09999999999991</v>
      </c>
      <c r="F23">
        <f>IFERROR(INDEX(EIA861_sales!$F$4:$F$51,MATCH($B23,EIA861_sales!$A$4:$A$51,0))-INDEX(EIA861_sales!$E$4:$E$51,MATCH($B23,EIA861_sales!$A$4:$A$51,0)),"")</f>
        <v>-475.19999999999982</v>
      </c>
      <c r="G23" t="str">
        <f>IFERROR(IF(AND(OR(D23&gt;=Keys!$C$10,C23&gt;=Keys!$C$11),AND(F23&gt;0,F23&gt;Keys!$C$9*E23)),"industrial","commercial"),"commercial")</f>
        <v>commercial</v>
      </c>
      <c r="H23" t="str">
        <f>IF(ISNA(MATCH($A23,EPRI_DC_2023!$A$2:$A$45,0)),"n/a - missing DC data",IFERROR(IF(NOT(OR(D23&gt;=Keys!$C$10,C23&gt;=Keys!$C$11)),"n/a - immaterial",IF(OR(AND(E23&gt;0,E23&gt;Keys!$C$9*F23),AND(F23&gt;0,F23&gt;Keys!$C$9*E23)),"high","LOW - verify")),"n/a - missing DC data"))</f>
        <v>n/a - immaterial</v>
      </c>
    </row>
    <row r="24" spans="1:8" x14ac:dyDescent="0.45">
      <c r="A24" t="s">
        <v>55</v>
      </c>
      <c r="B24" t="s">
        <v>56</v>
      </c>
      <c r="C24">
        <f>IFERROR(INDEX(EPRI_DC_2023!$B$2:$B$45,MATCH($A24,EPRI_DC_2023!$A$2:$A$45,0))/1000,0)</f>
        <v>96.36</v>
      </c>
      <c r="D24">
        <f>IFERROR(INDEX(EPRI_DC_2023!$C$2:$C$45,MATCH($A24,EPRI_DC_2023!$A$2:$A$45,0)),0)</f>
        <v>1.6000000000000001E-3</v>
      </c>
      <c r="E24">
        <f>IFERROR(INDEX(EIA861_sales!$D$4:$D$51,MATCH($B24,EIA861_sales!$A$4:$A$51,0))-INDEX(EIA861_sales!$C$4:$C$51,MATCH($B24,EIA861_sales!$A$4:$A$51,0)),"")</f>
        <v>-2485.7999999999993</v>
      </c>
      <c r="F24">
        <f>IFERROR(INDEX(EIA861_sales!$F$4:$F$51,MATCH($B24,EIA861_sales!$A$4:$A$51,0))-INDEX(EIA861_sales!$E$4:$E$51,MATCH($B24,EIA861_sales!$A$4:$A$51,0)),"")</f>
        <v>-414.59999999999991</v>
      </c>
      <c r="G24" t="str">
        <f>IFERROR(IF(AND(OR(D24&gt;=Keys!$C$10,C24&gt;=Keys!$C$11),AND(F24&gt;0,F24&gt;Keys!$C$9*E24)),"industrial","commercial"),"commercial")</f>
        <v>commercial</v>
      </c>
      <c r="H24" t="str">
        <f>IF(ISNA(MATCH($A24,EPRI_DC_2023!$A$2:$A$45,0)),"n/a - missing DC data",IFERROR(IF(NOT(OR(D24&gt;=Keys!$C$10,C24&gt;=Keys!$C$11)),"n/a - immaterial",IF(OR(AND(E24&gt;0,E24&gt;Keys!$C$9*F24),AND(F24&gt;0,F24&gt;Keys!$C$9*E24)),"high","LOW - verify")),"n/a - missing DC data"))</f>
        <v>n/a - immaterial</v>
      </c>
    </row>
    <row r="25" spans="1:8" x14ac:dyDescent="0.45">
      <c r="A25" t="s">
        <v>58</v>
      </c>
      <c r="B25" t="s">
        <v>59</v>
      </c>
      <c r="C25">
        <f>IFERROR(INDEX(EPRI_DC_2023!$B$2:$B$45,MATCH($A25,EPRI_DC_2023!$A$2:$A$45,0))/1000,0)</f>
        <v>1062.98</v>
      </c>
      <c r="D25">
        <f>IFERROR(INDEX(EPRI_DC_2023!$C$2:$C$45,MATCH($A25,EPRI_DC_2023!$A$2:$A$45,0)),0)</f>
        <v>2.0799999999999999E-2</v>
      </c>
      <c r="E25">
        <f>IFERROR(INDEX(EIA861_sales!$D$4:$D$51,MATCH($B25,EIA861_sales!$A$4:$A$51,0))-INDEX(EIA861_sales!$C$4:$C$51,MATCH($B25,EIA861_sales!$A$4:$A$51,0)),"")</f>
        <v>-1676.9000000000015</v>
      </c>
      <c r="F25">
        <f>IFERROR(INDEX(EIA861_sales!$F$4:$F$51,MATCH($B25,EIA861_sales!$A$4:$A$51,0))-INDEX(EIA861_sales!$E$4:$E$51,MATCH($B25,EIA861_sales!$A$4:$A$51,0)),"")</f>
        <v>-595.5</v>
      </c>
      <c r="G25" t="str">
        <f>IFERROR(IF(AND(OR(D25&gt;=Keys!$C$10,C25&gt;=Keys!$C$11),AND(F25&gt;0,F25&gt;Keys!$C$9*E25)),"industrial","commercial"),"commercial")</f>
        <v>commercial</v>
      </c>
      <c r="H25" t="str">
        <f>IF(ISNA(MATCH($A25,EPRI_DC_2023!$A$2:$A$45,0)),"n/a - missing DC data",IFERROR(IF(NOT(OR(D25&gt;=Keys!$C$10,C25&gt;=Keys!$C$11)),"n/a - immaterial",IF(OR(AND(E25&gt;0,E25&gt;Keys!$C$9*F25),AND(F25&gt;0,F25&gt;Keys!$C$9*E25)),"high","LOW - verify")),"n/a - missing DC data"))</f>
        <v>LOW - verify</v>
      </c>
    </row>
    <row r="26" spans="1:8" x14ac:dyDescent="0.45">
      <c r="A26" t="s">
        <v>61</v>
      </c>
      <c r="B26" t="s">
        <v>62</v>
      </c>
      <c r="C26">
        <f>IFERROR(INDEX(EPRI_DC_2023!$B$2:$B$45,MATCH($A26,EPRI_DC_2023!$A$2:$A$45,0))/1000,0)</f>
        <v>652.79999999999995</v>
      </c>
      <c r="D26">
        <f>IFERROR(INDEX(EPRI_DC_2023!$C$2:$C$45,MATCH($A26,EPRI_DC_2023!$A$2:$A$45,0)),0)</f>
        <v>5.1999999999999998E-3</v>
      </c>
      <c r="E26">
        <f>IFERROR(INDEX(EIA861_sales!$D$4:$D$51,MATCH($B26,EIA861_sales!$A$4:$A$51,0))-INDEX(EIA861_sales!$C$4:$C$51,MATCH($B26,EIA861_sales!$A$4:$A$51,0)),"")</f>
        <v>-2391</v>
      </c>
      <c r="F26">
        <f>IFERROR(INDEX(EIA861_sales!$F$4:$F$51,MATCH($B26,EIA861_sales!$A$4:$A$51,0))-INDEX(EIA861_sales!$E$4:$E$51,MATCH($B26,EIA861_sales!$A$4:$A$51,0)),"")</f>
        <v>-2086.7999999999993</v>
      </c>
      <c r="G26" t="str">
        <f>IFERROR(IF(AND(OR(D26&gt;=Keys!$C$10,C26&gt;=Keys!$C$11),AND(F26&gt;0,F26&gt;Keys!$C$9*E26)),"industrial","commercial"),"commercial")</f>
        <v>commercial</v>
      </c>
      <c r="H26" t="str">
        <f>IF(ISNA(MATCH($A26,EPRI_DC_2023!$A$2:$A$45,0)),"n/a - missing DC data",IFERROR(IF(NOT(OR(D26&gt;=Keys!$C$10,C26&gt;=Keys!$C$11)),"n/a - immaterial",IF(OR(AND(E26&gt;0,E26&gt;Keys!$C$9*F26),AND(F26&gt;0,F26&gt;Keys!$C$9*E26)),"high","LOW - verify")),"n/a - missing DC data"))</f>
        <v>n/a - immaterial</v>
      </c>
    </row>
    <row r="27" spans="1:8" x14ac:dyDescent="0.45">
      <c r="A27" t="s">
        <v>64</v>
      </c>
      <c r="B27" t="s">
        <v>65</v>
      </c>
      <c r="C27">
        <f>IFERROR(INDEX(EPRI_DC_2023!$B$2:$B$45,MATCH($A27,EPRI_DC_2023!$A$2:$A$45,0))/1000,0)</f>
        <v>824.31600000000003</v>
      </c>
      <c r="D27">
        <f>IFERROR(INDEX(EPRI_DC_2023!$C$2:$C$45,MATCH($A27,EPRI_DC_2023!$A$2:$A$45,0)),0)</f>
        <v>1.24E-2</v>
      </c>
      <c r="E27">
        <f>IFERROR(INDEX(EIA861_sales!$D$4:$D$51,MATCH($B27,EIA861_sales!$A$4:$A$51,0))-INDEX(EIA861_sales!$C$4:$C$51,MATCH($B27,EIA861_sales!$A$4:$A$51,0)),"")</f>
        <v>-784.69999999999709</v>
      </c>
      <c r="F27">
        <f>IFERROR(INDEX(EIA861_sales!$F$4:$F$51,MATCH($B27,EIA861_sales!$A$4:$A$51,0))-INDEX(EIA861_sales!$E$4:$E$51,MATCH($B27,EIA861_sales!$A$4:$A$51,0)),"")</f>
        <v>-1886.2000000000007</v>
      </c>
      <c r="G27" t="str">
        <f>IFERROR(IF(AND(OR(D27&gt;=Keys!$C$10,C27&gt;=Keys!$C$11),AND(F27&gt;0,F27&gt;Keys!$C$9*E27)),"industrial","commercial"),"commercial")</f>
        <v>commercial</v>
      </c>
      <c r="H27" t="str">
        <f>IF(ISNA(MATCH($A27,EPRI_DC_2023!$A$2:$A$45,0)),"n/a - missing DC data",IFERROR(IF(NOT(OR(D27&gt;=Keys!$C$10,C27&gt;=Keys!$C$11)),"n/a - immaterial",IF(OR(AND(E27&gt;0,E27&gt;Keys!$C$9*F27),AND(F27&gt;0,F27&gt;Keys!$C$9*E27)),"high","LOW - verify")),"n/a - missing DC data"))</f>
        <v>n/a - immaterial</v>
      </c>
    </row>
    <row r="28" spans="1:8" x14ac:dyDescent="0.45">
      <c r="A28" t="s">
        <v>66</v>
      </c>
      <c r="B28" t="s">
        <v>67</v>
      </c>
      <c r="C28">
        <f>IFERROR(INDEX(EPRI_DC_2023!$B$2:$B$45,MATCH($A28,EPRI_DC_2023!$A$2:$A$45,0))/1000,0)</f>
        <v>0</v>
      </c>
      <c r="D28">
        <f>IFERROR(INDEX(EPRI_DC_2023!$C$2:$C$45,MATCH($A28,EPRI_DC_2023!$A$2:$A$45,0)),0)</f>
        <v>0</v>
      </c>
      <c r="E28">
        <f>IFERROR(INDEX(EIA861_sales!$D$4:$D$51,MATCH($B28,EIA861_sales!$A$4:$A$51,0))-INDEX(EIA861_sales!$C$4:$C$51,MATCH($B28,EIA861_sales!$A$4:$A$51,0)),"")</f>
        <v>-299.30000000000109</v>
      </c>
      <c r="F28">
        <f>IFERROR(INDEX(EIA861_sales!$F$4:$F$51,MATCH($B28,EIA861_sales!$A$4:$A$51,0))-INDEX(EIA861_sales!$E$4:$E$51,MATCH($B28,EIA861_sales!$A$4:$A$51,0)),"")</f>
        <v>-902.69999999999891</v>
      </c>
      <c r="G28" t="str">
        <f>IFERROR(IF(AND(OR(D28&gt;=Keys!$C$10,C28&gt;=Keys!$C$11),AND(F28&gt;0,F28&gt;Keys!$C$9*E28)),"industrial","commercial"),"commercial")</f>
        <v>commercial</v>
      </c>
      <c r="H28" t="str">
        <f>IF(ISNA(MATCH($A28,EPRI_DC_2023!$A$2:$A$45,0)),"n/a - missing DC data",IFERROR(IF(NOT(OR(D28&gt;=Keys!$C$10,C28&gt;=Keys!$C$11)),"n/a - immaterial",IF(OR(AND(E28&gt;0,E28&gt;Keys!$C$9*F28),AND(F28&gt;0,F28&gt;Keys!$C$9*E28)),"high","LOW - verify")),"n/a - missing DC data"))</f>
        <v>n/a - missing DC data</v>
      </c>
    </row>
    <row r="29" spans="1:8" x14ac:dyDescent="0.45">
      <c r="A29" t="s">
        <v>68</v>
      </c>
      <c r="B29" t="s">
        <v>69</v>
      </c>
      <c r="C29">
        <f>IFERROR(INDEX(EPRI_DC_2023!$B$2:$B$45,MATCH($A29,EPRI_DC_2023!$A$2:$A$45,0))/1000,0)</f>
        <v>1973.62</v>
      </c>
      <c r="D29">
        <f>IFERROR(INDEX(EPRI_DC_2023!$C$2:$C$45,MATCH($A29,EPRI_DC_2023!$A$2:$A$45,0)),0)</f>
        <v>1.3599999999999999E-2</v>
      </c>
      <c r="E29">
        <f>IFERROR(INDEX(EIA861_sales!$D$4:$D$51,MATCH($B29,EIA861_sales!$A$4:$A$51,0))-INDEX(EIA861_sales!$C$4:$C$51,MATCH($B29,EIA861_sales!$A$4:$A$51,0)),"")</f>
        <v>-2004.8999999999978</v>
      </c>
      <c r="F29">
        <f>IFERROR(INDEX(EIA861_sales!$F$4:$F$51,MATCH($B29,EIA861_sales!$A$4:$A$51,0))-INDEX(EIA861_sales!$E$4:$E$51,MATCH($B29,EIA861_sales!$A$4:$A$51,0)),"")</f>
        <v>-576.39999999999964</v>
      </c>
      <c r="G29" t="str">
        <f>IFERROR(IF(AND(OR(D29&gt;=Keys!$C$10,C29&gt;=Keys!$C$11),AND(F29&gt;0,F29&gt;Keys!$C$9*E29)),"industrial","commercial"),"commercial")</f>
        <v>commercial</v>
      </c>
      <c r="H29" t="str">
        <f>IF(ISNA(MATCH($A29,EPRI_DC_2023!$A$2:$A$45,0)),"n/a - missing DC data",IFERROR(IF(NOT(OR(D29&gt;=Keys!$C$10,C29&gt;=Keys!$C$11)),"n/a - immaterial",IF(OR(AND(E29&gt;0,E29&gt;Keys!$C$9*F29),AND(F29&gt;0,F29&gt;Keys!$C$9*E29)),"high","LOW - verify")),"n/a - missing DC data"))</f>
        <v>LOW - verify</v>
      </c>
    </row>
    <row r="30" spans="1:8" x14ac:dyDescent="0.45">
      <c r="A30" t="s">
        <v>70</v>
      </c>
      <c r="B30" t="s">
        <v>71</v>
      </c>
      <c r="C30">
        <f>IFERROR(INDEX(EPRI_DC_2023!$B$2:$B$45,MATCH($A30,EPRI_DC_2023!$A$2:$A$45,0))/1000,0)</f>
        <v>578.16</v>
      </c>
      <c r="D30">
        <f>IFERROR(INDEX(EPRI_DC_2023!$C$2:$C$45,MATCH($A30,EPRI_DC_2023!$A$2:$A$45,0)),0)</f>
        <v>3.7100000000000001E-2</v>
      </c>
      <c r="E30">
        <f>IFERROR(INDEX(EIA861_sales!$D$4:$D$51,MATCH($B30,EIA861_sales!$A$4:$A$51,0))-INDEX(EIA861_sales!$C$4:$C$51,MATCH($B30,EIA861_sales!$A$4:$A$51,0)),"")</f>
        <v>141.80000000000018</v>
      </c>
      <c r="F30">
        <f>IFERROR(INDEX(EIA861_sales!$F$4:$F$51,MATCH($B30,EIA861_sales!$A$4:$A$51,0))-INDEX(EIA861_sales!$E$4:$E$51,MATCH($B30,EIA861_sales!$A$4:$A$51,0)),"")</f>
        <v>250.40000000000009</v>
      </c>
      <c r="G30" t="str">
        <f>IFERROR(IF(AND(OR(D30&gt;=Keys!$C$10,C30&gt;=Keys!$C$11),AND(F30&gt;0,F30&gt;Keys!$C$9*E30)),"industrial","commercial"),"commercial")</f>
        <v>commercial</v>
      </c>
      <c r="H30" t="str">
        <f>IF(ISNA(MATCH($A30,EPRI_DC_2023!$A$2:$A$45,0)),"n/a - missing DC data",IFERROR(IF(NOT(OR(D30&gt;=Keys!$C$10,C30&gt;=Keys!$C$11)),"n/a - immaterial",IF(OR(AND(E30&gt;0,E30&gt;Keys!$C$9*F30),AND(F30&gt;0,F30&gt;Keys!$C$9*E30)),"high","LOW - verify")),"n/a - missing DC data"))</f>
        <v>n/a - immaterial</v>
      </c>
    </row>
    <row r="31" spans="1:8" x14ac:dyDescent="0.45">
      <c r="A31" t="s">
        <v>72</v>
      </c>
      <c r="B31" t="s">
        <v>73</v>
      </c>
      <c r="C31">
        <f>IFERROR(INDEX(EPRI_DC_2023!$B$2:$B$45,MATCH($A31,EPRI_DC_2023!$A$2:$A$45,0))/1000,0)</f>
        <v>3959.52</v>
      </c>
      <c r="D31">
        <f>IFERROR(INDEX(EPRI_DC_2023!$C$2:$C$45,MATCH($A31,EPRI_DC_2023!$A$2:$A$45,0)),0)</f>
        <v>0.11700000000000001</v>
      </c>
      <c r="E31">
        <f>IFERROR(INDEX(EIA861_sales!$D$4:$D$51,MATCH($B31,EIA861_sales!$A$4:$A$51,0))-INDEX(EIA861_sales!$C$4:$C$51,MATCH($B31,EIA861_sales!$A$4:$A$51,0)),"")</f>
        <v>1707.2000000000007</v>
      </c>
      <c r="F31">
        <f>IFERROR(INDEX(EIA861_sales!$F$4:$F$51,MATCH($B31,EIA861_sales!$A$4:$A$51,0))-INDEX(EIA861_sales!$E$4:$E$51,MATCH($B31,EIA861_sales!$A$4:$A$51,0)),"")</f>
        <v>666.5</v>
      </c>
      <c r="G31" t="str">
        <f>IFERROR(IF(AND(OR(D31&gt;=Keys!$C$10,C31&gt;=Keys!$C$11),AND(F31&gt;0,F31&gt;Keys!$C$9*E31)),"industrial","commercial"),"commercial")</f>
        <v>commercial</v>
      </c>
      <c r="H31" t="str">
        <f>IF(ISNA(MATCH($A31,EPRI_DC_2023!$A$2:$A$45,0)),"n/a - missing DC data",IFERROR(IF(NOT(OR(D31&gt;=Keys!$C$10,C31&gt;=Keys!$C$11)),"n/a - immaterial",IF(OR(AND(E31&gt;0,E31&gt;Keys!$C$9*F31),AND(F31&gt;0,F31&gt;Keys!$C$9*E31)),"high","LOW - verify")),"n/a - missing DC data"))</f>
        <v>high</v>
      </c>
    </row>
    <row r="32" spans="1:8" x14ac:dyDescent="0.45">
      <c r="A32" t="s">
        <v>74</v>
      </c>
      <c r="B32" t="s">
        <v>75</v>
      </c>
      <c r="C32">
        <f>IFERROR(INDEX(EPRI_DC_2023!$B$2:$B$45,MATCH($A32,EPRI_DC_2023!$A$2:$A$45,0))/1000,0)</f>
        <v>3416.7</v>
      </c>
      <c r="D32">
        <f>IFERROR(INDEX(EPRI_DC_2023!$C$2:$C$45,MATCH($A32,EPRI_DC_2023!$A$2:$A$45,0)),0)</f>
        <v>0.14219999999999999</v>
      </c>
      <c r="E32">
        <f>IFERROR(INDEX(EIA861_sales!$D$4:$D$51,MATCH($B32,EIA861_sales!$A$4:$A$51,0))-INDEX(EIA861_sales!$C$4:$C$51,MATCH($B32,EIA861_sales!$A$4:$A$51,0)),"")</f>
        <v>242.89999999999964</v>
      </c>
      <c r="F32">
        <f>IFERROR(INDEX(EIA861_sales!$F$4:$F$51,MATCH($B32,EIA861_sales!$A$4:$A$51,0))-INDEX(EIA861_sales!$E$4:$E$51,MATCH($B32,EIA861_sales!$A$4:$A$51,0)),"")</f>
        <v>272.89999999999964</v>
      </c>
      <c r="G32" t="str">
        <f>IFERROR(IF(AND(OR(D32&gt;=Keys!$C$10,C32&gt;=Keys!$C$11),AND(F32&gt;0,F32&gt;Keys!$C$9*E32)),"industrial","commercial"),"commercial")</f>
        <v>commercial</v>
      </c>
      <c r="H32" t="str">
        <f>IF(ISNA(MATCH($A32,EPRI_DC_2023!$A$2:$A$45,0)),"n/a - missing DC data",IFERROR(IF(NOT(OR(D32&gt;=Keys!$C$10,C32&gt;=Keys!$C$11)),"n/a - immaterial",IF(OR(AND(E32&gt;0,E32&gt;Keys!$C$9*F32),AND(F32&gt;0,F32&gt;Keys!$C$9*E32)),"high","LOW - verify")),"n/a - missing DC data"))</f>
        <v>LOW - verify</v>
      </c>
    </row>
    <row r="33" spans="1:8" x14ac:dyDescent="0.45">
      <c r="A33" t="s">
        <v>76</v>
      </c>
      <c r="B33" t="s">
        <v>77</v>
      </c>
      <c r="C33">
        <f>IFERROR(INDEX(EPRI_DC_2023!$B$2:$B$45,MATCH($A33,EPRI_DC_2023!$A$2:$A$45,0))/1000,0)</f>
        <v>15.72</v>
      </c>
      <c r="D33">
        <f>IFERROR(INDEX(EPRI_DC_2023!$C$2:$C$45,MATCH($A33,EPRI_DC_2023!$A$2:$A$45,0)),0)</f>
        <v>6.1000000000000004E-3</v>
      </c>
      <c r="E33">
        <f>IFERROR(INDEX(EIA861_sales!$D$4:$D$51,MATCH($B33,EIA861_sales!$A$4:$A$51,0))-INDEX(EIA861_sales!$C$4:$C$51,MATCH($B33,EIA861_sales!$A$4:$A$51,0)),"")</f>
        <v>-392.00000000000045</v>
      </c>
      <c r="F33">
        <f>IFERROR(INDEX(EIA861_sales!$F$4:$F$51,MATCH($B33,EIA861_sales!$A$4:$A$51,0))-INDEX(EIA861_sales!$E$4:$E$51,MATCH($B33,EIA861_sales!$A$4:$A$51,0)),"")</f>
        <v>10.900000000000091</v>
      </c>
      <c r="G33" t="str">
        <f>IFERROR(IF(AND(OR(D33&gt;=Keys!$C$10,C33&gt;=Keys!$C$11),AND(F33&gt;0,F33&gt;Keys!$C$9*E33)),"industrial","commercial"),"commercial")</f>
        <v>commercial</v>
      </c>
      <c r="H33" t="str">
        <f>IF(ISNA(MATCH($A33,EPRI_DC_2023!$A$2:$A$45,0)),"n/a - missing DC data",IFERROR(IF(NOT(OR(D33&gt;=Keys!$C$10,C33&gt;=Keys!$C$11)),"n/a - immaterial",IF(OR(AND(E33&gt;0,E33&gt;Keys!$C$9*F33),AND(F33&gt;0,F33&gt;Keys!$C$9*E33)),"high","LOW - verify")),"n/a - missing DC data"))</f>
        <v>n/a - immaterial</v>
      </c>
    </row>
    <row r="34" spans="1:8" x14ac:dyDescent="0.45">
      <c r="A34" t="s">
        <v>78</v>
      </c>
      <c r="B34" t="s">
        <v>79</v>
      </c>
      <c r="C34">
        <f>IFERROR(INDEX(EPRI_DC_2023!$B$2:$B$45,MATCH($A34,EPRI_DC_2023!$A$2:$A$45,0))/1000,0)</f>
        <v>4038.63</v>
      </c>
      <c r="D34">
        <f>IFERROR(INDEX(EPRI_DC_2023!$C$2:$C$45,MATCH($A34,EPRI_DC_2023!$A$2:$A$45,0)),0)</f>
        <v>5.4199999999999998E-2</v>
      </c>
      <c r="E34">
        <f>IFERROR(INDEX(EIA861_sales!$D$4:$D$51,MATCH($B34,EIA861_sales!$A$4:$A$51,0))-INDEX(EIA861_sales!$C$4:$C$51,MATCH($B34,EIA861_sales!$A$4:$A$51,0)),"")</f>
        <v>-2724.2999999999956</v>
      </c>
      <c r="F34">
        <f>IFERROR(INDEX(EIA861_sales!$F$4:$F$51,MATCH($B34,EIA861_sales!$A$4:$A$51,0))-INDEX(EIA861_sales!$E$4:$E$51,MATCH($B34,EIA861_sales!$A$4:$A$51,0)),"")</f>
        <v>-1168.5</v>
      </c>
      <c r="G34" t="str">
        <f>IFERROR(IF(AND(OR(D34&gt;=Keys!$C$10,C34&gt;=Keys!$C$11),AND(F34&gt;0,F34&gt;Keys!$C$9*E34)),"industrial","commercial"),"commercial")</f>
        <v>commercial</v>
      </c>
      <c r="H34" t="str">
        <f>IF(ISNA(MATCH($A34,EPRI_DC_2023!$A$2:$A$45,0)),"n/a - missing DC data",IFERROR(IF(NOT(OR(D34&gt;=Keys!$C$10,C34&gt;=Keys!$C$11)),"n/a - immaterial",IF(OR(AND(E34&gt;0,E34&gt;Keys!$C$9*F34),AND(F34&gt;0,F34&gt;Keys!$C$9*E34)),"high","LOW - verify")),"n/a - missing DC data"))</f>
        <v>LOW - verify</v>
      </c>
    </row>
    <row r="35" spans="1:8" x14ac:dyDescent="0.45">
      <c r="A35" t="s">
        <v>80</v>
      </c>
      <c r="B35" t="s">
        <v>81</v>
      </c>
      <c r="C35">
        <f>IFERROR(INDEX(EPRI_DC_2023!$B$2:$B$45,MATCH($A35,EPRI_DC_2023!$A$2:$A$45,0))/1000,0)</f>
        <v>402.96</v>
      </c>
      <c r="D35">
        <f>IFERROR(INDEX(EPRI_DC_2023!$C$2:$C$45,MATCH($A35,EPRI_DC_2023!$A$2:$A$45,0)),0)</f>
        <v>1.6000000000000001E-3</v>
      </c>
      <c r="E35">
        <f>IFERROR(INDEX(EIA861_sales!$D$4:$D$51,MATCH($B35,EIA861_sales!$A$4:$A$51,0))-INDEX(EIA861_sales!$C$4:$C$51,MATCH($B35,EIA861_sales!$A$4:$A$51,0)),"")</f>
        <v>314.10000000000036</v>
      </c>
      <c r="F35">
        <f>IFERROR(INDEX(EIA861_sales!$F$4:$F$51,MATCH($B35,EIA861_sales!$A$4:$A$51,0))-INDEX(EIA861_sales!$E$4:$E$51,MATCH($B35,EIA861_sales!$A$4:$A$51,0)),"")</f>
        <v>3474.8999999999996</v>
      </c>
      <c r="G35" t="str">
        <f>IFERROR(IF(AND(OR(D35&gt;=Keys!$C$10,C35&gt;=Keys!$C$11),AND(F35&gt;0,F35&gt;Keys!$C$9*E35)),"industrial","commercial"),"commercial")</f>
        <v>commercial</v>
      </c>
      <c r="H35" t="str">
        <f>IF(ISNA(MATCH($A35,EPRI_DC_2023!$A$2:$A$45,0)),"n/a - missing DC data",IFERROR(IF(NOT(OR(D35&gt;=Keys!$C$10,C35&gt;=Keys!$C$11)),"n/a - immaterial",IF(OR(AND(E35&gt;0,E35&gt;Keys!$C$9*F35),AND(F35&gt;0,F35&gt;Keys!$C$9*E35)),"high","LOW - verify")),"n/a - missing DC data"))</f>
        <v>n/a - immaterial</v>
      </c>
    </row>
    <row r="36" spans="1:8" x14ac:dyDescent="0.45">
      <c r="A36" t="s">
        <v>82</v>
      </c>
      <c r="B36" t="s">
        <v>83</v>
      </c>
      <c r="C36">
        <f>IFERROR(INDEX(EPRI_DC_2023!$B$2:$B$45,MATCH($A36,EPRI_DC_2023!$A$2:$A$45,0))/1000,0)</f>
        <v>4067.3850000000002</v>
      </c>
      <c r="D36">
        <f>IFERROR(INDEX(EPRI_DC_2023!$C$2:$C$45,MATCH($A36,EPRI_DC_2023!$A$2:$A$45,0)),0)</f>
        <v>2.8400000000000002E-2</v>
      </c>
      <c r="E36">
        <f>IFERROR(INDEX(EIA861_sales!$D$4:$D$51,MATCH($B36,EIA861_sales!$A$4:$A$51,0))-INDEX(EIA861_sales!$C$4:$C$51,MATCH($B36,EIA861_sales!$A$4:$A$51,0)),"")</f>
        <v>-5323.3000000000029</v>
      </c>
      <c r="F36">
        <f>IFERROR(INDEX(EIA861_sales!$F$4:$F$51,MATCH($B36,EIA861_sales!$A$4:$A$51,0))-INDEX(EIA861_sales!$E$4:$E$51,MATCH($B36,EIA861_sales!$A$4:$A$51,0)),"")</f>
        <v>-2903.2999999999993</v>
      </c>
      <c r="G36" t="str">
        <f>IFERROR(IF(AND(OR(D36&gt;=Keys!$C$10,C36&gt;=Keys!$C$11),AND(F36&gt;0,F36&gt;Keys!$C$9*E36)),"industrial","commercial"),"commercial")</f>
        <v>commercial</v>
      </c>
      <c r="H36" t="str">
        <f>IF(ISNA(MATCH($A36,EPRI_DC_2023!$A$2:$A$45,0)),"n/a - missing DC data",IFERROR(IF(NOT(OR(D36&gt;=Keys!$C$10,C36&gt;=Keys!$C$11)),"n/a - immaterial",IF(OR(AND(E36&gt;0,E36&gt;Keys!$C$9*F36),AND(F36&gt;0,F36&gt;Keys!$C$9*E36)),"high","LOW - verify")),"n/a - missing DC data"))</f>
        <v>LOW - verify</v>
      </c>
    </row>
    <row r="37" spans="1:8" x14ac:dyDescent="0.45">
      <c r="A37" t="s">
        <v>84</v>
      </c>
      <c r="B37" t="s">
        <v>85</v>
      </c>
      <c r="C37">
        <f>IFERROR(INDEX(EPRI_DC_2023!$B$2:$B$45,MATCH($A37,EPRI_DC_2023!$A$2:$A$45,0))/1000,0)</f>
        <v>2672.6759999999999</v>
      </c>
      <c r="D37">
        <f>IFERROR(INDEX(EPRI_DC_2023!$C$2:$C$45,MATCH($A37,EPRI_DC_2023!$A$2:$A$45,0)),0)</f>
        <v>1.9199999999999998E-2</v>
      </c>
      <c r="E37">
        <f>IFERROR(INDEX(EIA861_sales!$D$4:$D$51,MATCH($B37,EIA861_sales!$A$4:$A$51,0))-INDEX(EIA861_sales!$C$4:$C$51,MATCH($B37,EIA861_sales!$A$4:$A$51,0)),"")</f>
        <v>-1101.5</v>
      </c>
      <c r="F37">
        <f>IFERROR(INDEX(EIA861_sales!$F$4:$F$51,MATCH($B37,EIA861_sales!$A$4:$A$51,0))-INDEX(EIA861_sales!$E$4:$E$51,MATCH($B37,EIA861_sales!$A$4:$A$51,0)),"")</f>
        <v>-1209.5999999999985</v>
      </c>
      <c r="G37" t="str">
        <f>IFERROR(IF(AND(OR(D37&gt;=Keys!$C$10,C37&gt;=Keys!$C$11),AND(F37&gt;0,F37&gt;Keys!$C$9*E37)),"industrial","commercial"),"commercial")</f>
        <v>commercial</v>
      </c>
      <c r="H37" t="str">
        <f>IF(ISNA(MATCH($A37,EPRI_DC_2023!$A$2:$A$45,0)),"n/a - missing DC data",IFERROR(IF(NOT(OR(D37&gt;=Keys!$C$10,C37&gt;=Keys!$C$11)),"n/a - immaterial",IF(OR(AND(E37&gt;0,E37&gt;Keys!$C$9*F37),AND(F37&gt;0,F37&gt;Keys!$C$9*E37)),"high","LOW - verify")),"n/a - missing DC data"))</f>
        <v>LOW - verify</v>
      </c>
    </row>
    <row r="38" spans="1:8" x14ac:dyDescent="0.45">
      <c r="A38" t="s">
        <v>86</v>
      </c>
      <c r="B38" t="s">
        <v>87</v>
      </c>
      <c r="C38">
        <f>IFERROR(INDEX(EPRI_DC_2023!$B$2:$B$45,MATCH($A38,EPRI_DC_2023!$A$2:$A$45,0))/1000,0)</f>
        <v>3915.72</v>
      </c>
      <c r="D38">
        <f>IFERROR(INDEX(EPRI_DC_2023!$C$2:$C$45,MATCH($A38,EPRI_DC_2023!$A$2:$A$45,0)),0)</f>
        <v>7.3800000000000004E-2</v>
      </c>
      <c r="E38">
        <f>IFERROR(INDEX(EIA861_sales!$D$4:$D$51,MATCH($B38,EIA861_sales!$A$4:$A$51,0))-INDEX(EIA861_sales!$C$4:$C$51,MATCH($B38,EIA861_sales!$A$4:$A$51,0)),"")</f>
        <v>4018.8000000000011</v>
      </c>
      <c r="F38">
        <f>IFERROR(INDEX(EIA861_sales!$F$4:$F$51,MATCH($B38,EIA861_sales!$A$4:$A$51,0))-INDEX(EIA861_sales!$E$4:$E$51,MATCH($B38,EIA861_sales!$A$4:$A$51,0)),"")</f>
        <v>4512.8999999999996</v>
      </c>
      <c r="G38" t="str">
        <f>IFERROR(IF(AND(OR(D38&gt;=Keys!$C$10,C38&gt;=Keys!$C$11),AND(F38&gt;0,F38&gt;Keys!$C$9*E38)),"industrial","commercial"),"commercial")</f>
        <v>commercial</v>
      </c>
      <c r="H38" t="str">
        <f>IF(ISNA(MATCH($A38,EPRI_DC_2023!$A$2:$A$45,0)),"n/a - missing DC data",IFERROR(IF(NOT(OR(D38&gt;=Keys!$C$10,C38&gt;=Keys!$C$11)),"n/a - immaterial",IF(OR(AND(E38&gt;0,E38&gt;Keys!$C$9*F38),AND(F38&gt;0,F38&gt;Keys!$C$9*E38)),"high","LOW - verify")),"n/a - missing DC data"))</f>
        <v>LOW - verify</v>
      </c>
    </row>
    <row r="39" spans="1:8" x14ac:dyDescent="0.45">
      <c r="A39" t="s">
        <v>88</v>
      </c>
      <c r="B39" t="s">
        <v>89</v>
      </c>
      <c r="C39">
        <f>IFERROR(INDEX(EPRI_DC_2023!$B$2:$B$45,MATCH($A39,EPRI_DC_2023!$A$2:$A$45,0))/1000,0)</f>
        <v>2363.886</v>
      </c>
      <c r="D39">
        <f>IFERROR(INDEX(EPRI_DC_2023!$C$2:$C$45,MATCH($A39,EPRI_DC_2023!$A$2:$A$45,0)),0)</f>
        <v>1.78E-2</v>
      </c>
      <c r="E39">
        <f>IFERROR(INDEX(EIA861_sales!$D$4:$D$51,MATCH($B39,EIA861_sales!$A$4:$A$51,0))-INDEX(EIA861_sales!$C$4:$C$51,MATCH($B39,EIA861_sales!$A$4:$A$51,0)),"")</f>
        <v>-840.19999999999709</v>
      </c>
      <c r="F39">
        <f>IFERROR(INDEX(EIA861_sales!$F$4:$F$51,MATCH($B39,EIA861_sales!$A$4:$A$51,0))-INDEX(EIA861_sales!$E$4:$E$51,MATCH($B39,EIA861_sales!$A$4:$A$51,0)),"")</f>
        <v>-1171.5999999999985</v>
      </c>
      <c r="G39" t="str">
        <f>IFERROR(IF(AND(OR(D39&gt;=Keys!$C$10,C39&gt;=Keys!$C$11),AND(F39&gt;0,F39&gt;Keys!$C$9*E39)),"industrial","commercial"),"commercial")</f>
        <v>commercial</v>
      </c>
      <c r="H39" t="str">
        <f>IF(ISNA(MATCH($A39,EPRI_DC_2023!$A$2:$A$45,0)),"n/a - missing DC data",IFERROR(IF(NOT(OR(D39&gt;=Keys!$C$10,C39&gt;=Keys!$C$11)),"n/a - immaterial",IF(OR(AND(E39&gt;0,E39&gt;Keys!$C$9*F39),AND(F39&gt;0,F39&gt;Keys!$C$9*E39)),"high","LOW - verify")),"n/a - missing DC data"))</f>
        <v>LOW - verify</v>
      </c>
    </row>
    <row r="40" spans="1:8" x14ac:dyDescent="0.45">
      <c r="A40" t="s">
        <v>90</v>
      </c>
      <c r="B40" t="s">
        <v>91</v>
      </c>
      <c r="C40">
        <f>IFERROR(INDEX(EPRI_DC_2023!$B$2:$B$45,MATCH($A40,EPRI_DC_2023!$A$2:$A$45,0))/1000,0)</f>
        <v>1226.4000000000001</v>
      </c>
      <c r="D40">
        <f>IFERROR(INDEX(EPRI_DC_2023!$C$2:$C$45,MATCH($A40,EPRI_DC_2023!$A$2:$A$45,0)),0)</f>
        <v>1.7600000000000001E-2</v>
      </c>
      <c r="E40">
        <f>IFERROR(INDEX(EIA861_sales!$D$4:$D$51,MATCH($B40,EIA861_sales!$A$4:$A$51,0))-INDEX(EIA861_sales!$C$4:$C$51,MATCH($B40,EIA861_sales!$A$4:$A$51,0)),"")</f>
        <v>1888.4000000000015</v>
      </c>
      <c r="F40">
        <f>IFERROR(INDEX(EIA861_sales!$F$4:$F$51,MATCH($B40,EIA861_sales!$A$4:$A$51,0))-INDEX(EIA861_sales!$E$4:$E$51,MATCH($B40,EIA861_sales!$A$4:$A$51,0)),"")</f>
        <v>2814.0999999999985</v>
      </c>
      <c r="G40" t="str">
        <f>IFERROR(IF(AND(OR(D40&gt;=Keys!$C$10,C40&gt;=Keys!$C$11),AND(F40&gt;0,F40&gt;Keys!$C$9*E40)),"industrial","commercial"),"commercial")</f>
        <v>industrial</v>
      </c>
      <c r="H40" t="str">
        <f>IF(ISNA(MATCH($A40,EPRI_DC_2023!$A$2:$A$45,0)),"n/a - missing DC data",IFERROR(IF(NOT(OR(D40&gt;=Keys!$C$10,C40&gt;=Keys!$C$11)),"n/a - immaterial",IF(OR(AND(E40&gt;0,E40&gt;Keys!$C$9*F40),AND(F40&gt;0,F40&gt;Keys!$C$9*E40)),"high","LOW - verify")),"n/a - missing DC data"))</f>
        <v>high</v>
      </c>
    </row>
    <row r="41" spans="1:8" x14ac:dyDescent="0.45">
      <c r="A41" t="s">
        <v>92</v>
      </c>
      <c r="B41" t="s">
        <v>93</v>
      </c>
      <c r="C41">
        <f>IFERROR(INDEX(EPRI_DC_2023!$B$2:$B$45,MATCH($A41,EPRI_DC_2023!$A$2:$A$45,0))/1000,0)</f>
        <v>6413.6629999999996</v>
      </c>
      <c r="D41">
        <f>IFERROR(INDEX(EPRI_DC_2023!$C$2:$C$45,MATCH($A41,EPRI_DC_2023!$A$2:$A$45,0)),0)</f>
        <v>0.1139</v>
      </c>
      <c r="E41">
        <f>IFERROR(INDEX(EIA861_sales!$D$4:$D$51,MATCH($B41,EIA861_sales!$A$4:$A$51,0))-INDEX(EIA861_sales!$C$4:$C$51,MATCH($B41,EIA861_sales!$A$4:$A$51,0)),"")</f>
        <v>6614.0999999999985</v>
      </c>
      <c r="F41">
        <f>IFERROR(INDEX(EIA861_sales!$F$4:$F$51,MATCH($B41,EIA861_sales!$A$4:$A$51,0))-INDEX(EIA861_sales!$E$4:$E$51,MATCH($B41,EIA861_sales!$A$4:$A$51,0)),"")</f>
        <v>617.10000000000036</v>
      </c>
      <c r="G41" t="str">
        <f>IFERROR(IF(AND(OR(D41&gt;=Keys!$C$10,C41&gt;=Keys!$C$11),AND(F41&gt;0,F41&gt;Keys!$C$9*E41)),"industrial","commercial"),"commercial")</f>
        <v>commercial</v>
      </c>
      <c r="H41" t="str">
        <f>IF(ISNA(MATCH($A41,EPRI_DC_2023!$A$2:$A$45,0)),"n/a - missing DC data",IFERROR(IF(NOT(OR(D41&gt;=Keys!$C$10,C41&gt;=Keys!$C$11)),"n/a - immaterial",IF(OR(AND(E41&gt;0,E41&gt;Keys!$C$9*F41),AND(F41&gt;0,F41&gt;Keys!$C$9*E41)),"high","LOW - verify")),"n/a - missing DC data"))</f>
        <v>high</v>
      </c>
    </row>
    <row r="42" spans="1:8" x14ac:dyDescent="0.45">
      <c r="A42" t="s">
        <v>94</v>
      </c>
      <c r="B42" t="s">
        <v>95</v>
      </c>
      <c r="C42">
        <f>IFERROR(INDEX(EPRI_DC_2023!$B$2:$B$45,MATCH($A42,EPRI_DC_2023!$A$2:$A$45,0))/1000,0)</f>
        <v>4590.24</v>
      </c>
      <c r="D42">
        <f>IFERROR(INDEX(EPRI_DC_2023!$C$2:$C$45,MATCH($A42,EPRI_DC_2023!$A$2:$A$45,0)),0)</f>
        <v>3.1600000000000003E-2</v>
      </c>
      <c r="E42">
        <f>IFERROR(INDEX(EIA861_sales!$D$4:$D$51,MATCH($B42,EIA861_sales!$A$4:$A$51,0))-INDEX(EIA861_sales!$C$4:$C$51,MATCH($B42,EIA861_sales!$A$4:$A$51,0)),"")</f>
        <v>-7419.1999999999971</v>
      </c>
      <c r="F42">
        <f>IFERROR(INDEX(EIA861_sales!$F$4:$F$51,MATCH($B42,EIA861_sales!$A$4:$A$51,0))-INDEX(EIA861_sales!$E$4:$E$51,MATCH($B42,EIA861_sales!$A$4:$A$51,0)),"")</f>
        <v>991.30000000000291</v>
      </c>
      <c r="G42" t="str">
        <f>IFERROR(IF(AND(OR(D42&gt;=Keys!$C$10,C42&gt;=Keys!$C$11),AND(F42&gt;0,F42&gt;Keys!$C$9*E42)),"industrial","commercial"),"commercial")</f>
        <v>industrial</v>
      </c>
      <c r="H42" t="str">
        <f>IF(ISNA(MATCH($A42,EPRI_DC_2023!$A$2:$A$45,0)),"n/a - missing DC data",IFERROR(IF(NOT(OR(D42&gt;=Keys!$C$10,C42&gt;=Keys!$C$11)),"n/a - immaterial",IF(OR(AND(E42&gt;0,E42&gt;Keys!$C$9*F42),AND(F42&gt;0,F42&gt;Keys!$C$9*E42)),"high","LOW - verify")),"n/a - missing DC data"))</f>
        <v>high</v>
      </c>
    </row>
    <row r="43" spans="1:8" x14ac:dyDescent="0.45">
      <c r="A43" t="s">
        <v>96</v>
      </c>
      <c r="B43" t="s">
        <v>97</v>
      </c>
      <c r="C43">
        <f>IFERROR(INDEX(EPRI_DC_2023!$B$2:$B$45,MATCH($A43,EPRI_DC_2023!$A$2:$A$45,0))/1000,0)</f>
        <v>17.52</v>
      </c>
      <c r="D43">
        <f>IFERROR(INDEX(EPRI_DC_2023!$C$2:$C$45,MATCH($A43,EPRI_DC_2023!$A$2:$A$45,0)),0)</f>
        <v>2.3E-3</v>
      </c>
      <c r="E43">
        <f>IFERROR(INDEX(EIA861_sales!$D$4:$D$51,MATCH($B43,EIA861_sales!$A$4:$A$51,0))-INDEX(EIA861_sales!$C$4:$C$51,MATCH($B43,EIA861_sales!$A$4:$A$51,0)),"")</f>
        <v>-47</v>
      </c>
      <c r="F43">
        <f>IFERROR(INDEX(EIA861_sales!$F$4:$F$51,MATCH($B43,EIA861_sales!$A$4:$A$51,0))-INDEX(EIA861_sales!$E$4:$E$51,MATCH($B43,EIA861_sales!$A$4:$A$51,0)),"")</f>
        <v>-96.700000000000045</v>
      </c>
      <c r="G43" t="str">
        <f>IFERROR(IF(AND(OR(D43&gt;=Keys!$C$10,C43&gt;=Keys!$C$11),AND(F43&gt;0,F43&gt;Keys!$C$9*E43)),"industrial","commercial"),"commercial")</f>
        <v>commercial</v>
      </c>
      <c r="H43" t="str">
        <f>IF(ISNA(MATCH($A43,EPRI_DC_2023!$A$2:$A$45,0)),"n/a - missing DC data",IFERROR(IF(NOT(OR(D43&gt;=Keys!$C$10,C43&gt;=Keys!$C$11)),"n/a - immaterial",IF(OR(AND(E43&gt;0,E43&gt;Keys!$C$9*F43),AND(F43&gt;0,F43&gt;Keys!$C$9*E43)),"high","LOW - verify")),"n/a - missing DC data"))</f>
        <v>n/a - immaterial</v>
      </c>
    </row>
    <row r="44" spans="1:8" x14ac:dyDescent="0.45">
      <c r="A44" t="s">
        <v>98</v>
      </c>
      <c r="B44" t="s">
        <v>99</v>
      </c>
      <c r="C44">
        <f>IFERROR(INDEX(EPRI_DC_2023!$B$2:$B$45,MATCH($A44,EPRI_DC_2023!$A$2:$A$45,0))/1000,0)</f>
        <v>2023.56</v>
      </c>
      <c r="D44">
        <f>IFERROR(INDEX(EPRI_DC_2023!$C$2:$C$45,MATCH($A44,EPRI_DC_2023!$A$2:$A$45,0)),0)</f>
        <v>2.4500000000000001E-2</v>
      </c>
      <c r="E44">
        <f>IFERROR(INDEX(EIA861_sales!$D$4:$D$51,MATCH($B44,EIA861_sales!$A$4:$A$51,0))-INDEX(EIA861_sales!$C$4:$C$51,MATCH($B44,EIA861_sales!$A$4:$A$51,0)),"")</f>
        <v>2961</v>
      </c>
      <c r="F44">
        <f>IFERROR(INDEX(EIA861_sales!$F$4:$F$51,MATCH($B44,EIA861_sales!$A$4:$A$51,0))-INDEX(EIA861_sales!$E$4:$E$51,MATCH($B44,EIA861_sales!$A$4:$A$51,0)),"")</f>
        <v>-2445.9000000000015</v>
      </c>
      <c r="G44" t="str">
        <f>IFERROR(IF(AND(OR(D44&gt;=Keys!$C$10,C44&gt;=Keys!$C$11),AND(F44&gt;0,F44&gt;Keys!$C$9*E44)),"industrial","commercial"),"commercial")</f>
        <v>commercial</v>
      </c>
      <c r="H44" t="str">
        <f>IF(ISNA(MATCH($A44,EPRI_DC_2023!$A$2:$A$45,0)),"n/a - missing DC data",IFERROR(IF(NOT(OR(D44&gt;=Keys!$C$10,C44&gt;=Keys!$C$11)),"n/a - immaterial",IF(OR(AND(E44&gt;0,E44&gt;Keys!$C$9*F44),AND(F44&gt;0,F44&gt;Keys!$C$9*E44)),"high","LOW - verify")),"n/a - missing DC data"))</f>
        <v>high</v>
      </c>
    </row>
    <row r="45" spans="1:8" x14ac:dyDescent="0.45">
      <c r="A45" t="s">
        <v>100</v>
      </c>
      <c r="B45" t="s">
        <v>101</v>
      </c>
      <c r="C45">
        <f>IFERROR(INDEX(EPRI_DC_2023!$B$2:$B$45,MATCH($A45,EPRI_DC_2023!$A$2:$A$45,0))/1000,0)</f>
        <v>70.08</v>
      </c>
      <c r="D45">
        <f>IFERROR(INDEX(EPRI_DC_2023!$C$2:$C$45,MATCH($A45,EPRI_DC_2023!$A$2:$A$45,0)),0)</f>
        <v>5.1999999999999998E-3</v>
      </c>
      <c r="E45">
        <f>IFERROR(INDEX(EIA861_sales!$D$4:$D$51,MATCH($B45,EIA861_sales!$A$4:$A$51,0))-INDEX(EIA861_sales!$C$4:$C$51,MATCH($B45,EIA861_sales!$A$4:$A$51,0)),"")</f>
        <v>129.60000000000036</v>
      </c>
      <c r="F45">
        <f>IFERROR(INDEX(EIA861_sales!$F$4:$F$51,MATCH($B45,EIA861_sales!$A$4:$A$51,0))-INDEX(EIA861_sales!$E$4:$E$51,MATCH($B45,EIA861_sales!$A$4:$A$51,0)),"")</f>
        <v>292</v>
      </c>
      <c r="G45" t="str">
        <f>IFERROR(IF(AND(OR(D45&gt;=Keys!$C$10,C45&gt;=Keys!$C$11),AND(F45&gt;0,F45&gt;Keys!$C$9*E45)),"industrial","commercial"),"commercial")</f>
        <v>commercial</v>
      </c>
      <c r="H45" t="str">
        <f>IF(ISNA(MATCH($A45,EPRI_DC_2023!$A$2:$A$45,0)),"n/a - missing DC data",IFERROR(IF(NOT(OR(D45&gt;=Keys!$C$10,C45&gt;=Keys!$C$11)),"n/a - immaterial",IF(OR(AND(E45&gt;0,E45&gt;Keys!$C$9*F45),AND(F45&gt;0,F45&gt;Keys!$C$9*E45)),"high","LOW - verify")),"n/a - missing DC data"))</f>
        <v>n/a - immaterial</v>
      </c>
    </row>
    <row r="46" spans="1:8" x14ac:dyDescent="0.45">
      <c r="A46" t="s">
        <v>102</v>
      </c>
      <c r="B46" t="s">
        <v>103</v>
      </c>
      <c r="C46">
        <f>IFERROR(INDEX(EPRI_DC_2023!$B$2:$B$45,MATCH($A46,EPRI_DC_2023!$A$2:$A$45,0))/1000,0)</f>
        <v>1327.14</v>
      </c>
      <c r="D46">
        <f>IFERROR(INDEX(EPRI_DC_2023!$C$2:$C$45,MATCH($A46,EPRI_DC_2023!$A$2:$A$45,0)),0)</f>
        <v>1.2999999999999999E-2</v>
      </c>
      <c r="E46">
        <f>IFERROR(INDEX(EIA861_sales!$D$4:$D$51,MATCH($B46,EIA861_sales!$A$4:$A$51,0))-INDEX(EIA861_sales!$C$4:$C$51,MATCH($B46,EIA861_sales!$A$4:$A$51,0)),"")</f>
        <v>-1836.0999999999985</v>
      </c>
      <c r="F46">
        <f>IFERROR(INDEX(EIA861_sales!$F$4:$F$51,MATCH($B46,EIA861_sales!$A$4:$A$51,0))-INDEX(EIA861_sales!$E$4:$E$51,MATCH($B46,EIA861_sales!$A$4:$A$51,0)),"")</f>
        <v>1002.2000000000007</v>
      </c>
      <c r="G46" t="str">
        <f>IFERROR(IF(AND(OR(D46&gt;=Keys!$C$10,C46&gt;=Keys!$C$11),AND(F46&gt;0,F46&gt;Keys!$C$9*E46)),"industrial","commercial"),"commercial")</f>
        <v>industrial</v>
      </c>
      <c r="H46" t="str">
        <f>IF(ISNA(MATCH($A46,EPRI_DC_2023!$A$2:$A$45,0)),"n/a - missing DC data",IFERROR(IF(NOT(OR(D46&gt;=Keys!$C$10,C46&gt;=Keys!$C$11)),"n/a - immaterial",IF(OR(AND(E46&gt;0,E46&gt;Keys!$C$9*F46),AND(F46&gt;0,F46&gt;Keys!$C$9*E46)),"high","LOW - verify")),"n/a - missing DC data"))</f>
        <v>high</v>
      </c>
    </row>
    <row r="47" spans="1:8" x14ac:dyDescent="0.45">
      <c r="A47" t="s">
        <v>104</v>
      </c>
      <c r="B47" t="s">
        <v>105</v>
      </c>
      <c r="C47">
        <f>IFERROR(INDEX(EPRI_DC_2023!$B$2:$B$45,MATCH($A47,EPRI_DC_2023!$A$2:$A$45,0))/1000,0)</f>
        <v>21813.159</v>
      </c>
      <c r="D47">
        <f>IFERROR(INDEX(EPRI_DC_2023!$C$2:$C$45,MATCH($A47,EPRI_DC_2023!$A$2:$A$45,0)),0)</f>
        <v>4.5900000000000003E-2</v>
      </c>
      <c r="E47">
        <f>IFERROR(INDEX(EIA861_sales!$D$4:$D$51,MATCH($B47,EIA861_sales!$A$4:$A$51,0))-INDEX(EIA861_sales!$C$4:$C$51,MATCH($B47,EIA861_sales!$A$4:$A$51,0)),"")</f>
        <v>22267.199999999983</v>
      </c>
      <c r="F47">
        <f>IFERROR(INDEX(EIA861_sales!$F$4:$F$51,MATCH($B47,EIA861_sales!$A$4:$A$51,0))-INDEX(EIA861_sales!$E$4:$E$51,MATCH($B47,EIA861_sales!$A$4:$A$51,0)),"")</f>
        <v>31932.699999999983</v>
      </c>
      <c r="G47" t="str">
        <f>IFERROR(IF(AND(OR(D47&gt;=Keys!$C$10,C47&gt;=Keys!$C$11),AND(F47&gt;0,F47&gt;Keys!$C$9*E47)),"industrial","commercial"),"commercial")</f>
        <v>industrial</v>
      </c>
      <c r="H47" t="str">
        <f>IF(ISNA(MATCH($A47,EPRI_DC_2023!$A$2:$A$45,0)),"n/a - missing DC data",IFERROR(IF(NOT(OR(D47&gt;=Keys!$C$10,C47&gt;=Keys!$C$11)),"n/a - immaterial",IF(OR(AND(E47&gt;0,E47&gt;Keys!$C$9*F47),AND(F47&gt;0,F47&gt;Keys!$C$9*E47)),"high","LOW - verify")),"n/a - missing DC data"))</f>
        <v>high</v>
      </c>
    </row>
    <row r="48" spans="1:8" x14ac:dyDescent="0.45">
      <c r="A48" t="s">
        <v>106</v>
      </c>
      <c r="B48" t="s">
        <v>107</v>
      </c>
      <c r="C48">
        <f>IFERROR(INDEX(EPRI_DC_2023!$B$2:$B$45,MATCH($A48,EPRI_DC_2023!$A$2:$A$45,0))/1000,0)</f>
        <v>2562.0369999999998</v>
      </c>
      <c r="D48">
        <f>IFERROR(INDEX(EPRI_DC_2023!$C$2:$C$45,MATCH($A48,EPRI_DC_2023!$A$2:$A$45,0)),0)</f>
        <v>7.6799999999999993E-2</v>
      </c>
      <c r="E48">
        <f>IFERROR(INDEX(EIA861_sales!$D$4:$D$51,MATCH($B48,EIA861_sales!$A$4:$A$51,0))-INDEX(EIA861_sales!$C$4:$C$51,MATCH($B48,EIA861_sales!$A$4:$A$51,0)),"")</f>
        <v>1254.2000000000007</v>
      </c>
      <c r="F48">
        <f>IFERROR(INDEX(EIA861_sales!$F$4:$F$51,MATCH($B48,EIA861_sales!$A$4:$A$51,0))-INDEX(EIA861_sales!$E$4:$E$51,MATCH($B48,EIA861_sales!$A$4:$A$51,0)),"")</f>
        <v>-769.70000000000073</v>
      </c>
      <c r="G48" t="str">
        <f>IFERROR(IF(AND(OR(D48&gt;=Keys!$C$10,C48&gt;=Keys!$C$11),AND(F48&gt;0,F48&gt;Keys!$C$9*E48)),"industrial","commercial"),"commercial")</f>
        <v>commercial</v>
      </c>
      <c r="H48" t="str">
        <f>IF(ISNA(MATCH($A48,EPRI_DC_2023!$A$2:$A$45,0)),"n/a - missing DC data",IFERROR(IF(NOT(OR(D48&gt;=Keys!$C$10,C48&gt;=Keys!$C$11)),"n/a - immaterial",IF(OR(AND(E48&gt;0,E48&gt;Keys!$C$9*F48),AND(F48&gt;0,F48&gt;Keys!$C$9*E48)),"high","LOW - verify")),"n/a - missing DC data"))</f>
        <v>high</v>
      </c>
    </row>
    <row r="49" spans="1:8" x14ac:dyDescent="0.45">
      <c r="A49" t="s">
        <v>108</v>
      </c>
      <c r="B49" t="s">
        <v>109</v>
      </c>
      <c r="C49">
        <f>IFERROR(INDEX(EPRI_DC_2023!$B$2:$B$45,MATCH($A49,EPRI_DC_2023!$A$2:$A$45,0))/1000,0)</f>
        <v>0</v>
      </c>
      <c r="D49">
        <f>IFERROR(INDEX(EPRI_DC_2023!$C$2:$C$45,MATCH($A49,EPRI_DC_2023!$A$2:$A$45,0)),0)</f>
        <v>0</v>
      </c>
      <c r="E49">
        <f>IFERROR(INDEX(EIA861_sales!$D$4:$D$51,MATCH($B49,EIA861_sales!$A$4:$A$51,0))-INDEX(EIA861_sales!$C$4:$C$51,MATCH($B49,EIA861_sales!$A$4:$A$51,0)),"")</f>
        <v>-99.900000000000091</v>
      </c>
      <c r="F49">
        <f>IFERROR(INDEX(EIA861_sales!$F$4:$F$51,MATCH($B49,EIA861_sales!$A$4:$A$51,0))-INDEX(EIA861_sales!$E$4:$E$51,MATCH($B49,EIA861_sales!$A$4:$A$51,0)),"")</f>
        <v>-127.30000000000018</v>
      </c>
      <c r="G49" t="str">
        <f>IFERROR(IF(AND(OR(D49&gt;=Keys!$C$10,C49&gt;=Keys!$C$11),AND(F49&gt;0,F49&gt;Keys!$C$9*E49)),"industrial","commercial"),"commercial")</f>
        <v>commercial</v>
      </c>
      <c r="H49" t="str">
        <f>IF(ISNA(MATCH($A49,EPRI_DC_2023!$A$2:$A$45,0)),"n/a - missing DC data",IFERROR(IF(NOT(OR(D49&gt;=Keys!$C$10,C49&gt;=Keys!$C$11)),"n/a - immaterial",IF(OR(AND(E49&gt;0,E49&gt;Keys!$C$9*F49),AND(F49&gt;0,F49&gt;Keys!$C$9*E49)),"high","LOW - verify")),"n/a - missing DC data"))</f>
        <v>n/a - missing DC data</v>
      </c>
    </row>
    <row r="50" spans="1:8" x14ac:dyDescent="0.45">
      <c r="A50" t="s">
        <v>110</v>
      </c>
      <c r="B50" t="s">
        <v>111</v>
      </c>
      <c r="C50">
        <f>IFERROR(INDEX(EPRI_DC_2023!$B$2:$B$45,MATCH($A50,EPRI_DC_2023!$A$2:$A$45,0))/1000,0)</f>
        <v>33851.122000000003</v>
      </c>
      <c r="D50">
        <f>IFERROR(INDEX(EPRI_DC_2023!$C$2:$C$45,MATCH($A50,EPRI_DC_2023!$A$2:$A$45,0)),0)</f>
        <v>0.25590000000000002</v>
      </c>
      <c r="E50">
        <f>IFERROR(INDEX(EIA861_sales!$D$4:$D$51,MATCH($B50,EIA861_sales!$A$4:$A$51,0))-INDEX(EIA861_sales!$C$4:$C$51,MATCH($B50,EIA861_sales!$A$4:$A$51,0)),"")</f>
        <v>21538.800000000003</v>
      </c>
      <c r="F50">
        <f>IFERROR(INDEX(EIA861_sales!$F$4:$F$51,MATCH($B50,EIA861_sales!$A$4:$A$51,0))-INDEX(EIA861_sales!$E$4:$E$51,MATCH($B50,EIA861_sales!$A$4:$A$51,0)),"")</f>
        <v>-2560.9000000000015</v>
      </c>
      <c r="G50" t="str">
        <f>IFERROR(IF(AND(OR(D50&gt;=Keys!$C$10,C50&gt;=Keys!$C$11),AND(F50&gt;0,F50&gt;Keys!$C$9*E50)),"industrial","commercial"),"commercial")</f>
        <v>commercial</v>
      </c>
      <c r="H50" t="str">
        <f>IF(ISNA(MATCH($A50,EPRI_DC_2023!$A$2:$A$45,0)),"n/a - missing DC data",IFERROR(IF(NOT(OR(D50&gt;=Keys!$C$10,C50&gt;=Keys!$C$11)),"n/a - immaterial",IF(OR(AND(E50&gt;0,E50&gt;Keys!$C$9*F50),AND(F50&gt;0,F50&gt;Keys!$C$9*E50)),"high","LOW - verify")),"n/a - missing DC data"))</f>
        <v>high</v>
      </c>
    </row>
    <row r="51" spans="1:8" x14ac:dyDescent="0.45">
      <c r="A51" t="s">
        <v>112</v>
      </c>
      <c r="B51" t="s">
        <v>113</v>
      </c>
      <c r="C51">
        <f>IFERROR(INDEX(EPRI_DC_2023!$B$2:$B$45,MATCH($A51,EPRI_DC_2023!$A$2:$A$45,0))/1000,0)</f>
        <v>5171.6120000000001</v>
      </c>
      <c r="D51">
        <f>IFERROR(INDEX(EPRI_DC_2023!$C$2:$C$45,MATCH($A51,EPRI_DC_2023!$A$2:$A$45,0)),0)</f>
        <v>5.6899999999999999E-2</v>
      </c>
      <c r="E51">
        <f>IFERROR(INDEX(EIA861_sales!$D$4:$D$51,MATCH($B51,EIA861_sales!$A$4:$A$51,0))-INDEX(EIA861_sales!$C$4:$C$51,MATCH($B51,EIA861_sales!$A$4:$A$51,0)),"")</f>
        <v>973.19999999999709</v>
      </c>
      <c r="F51">
        <f>IFERROR(INDEX(EIA861_sales!$F$4:$F$51,MATCH($B51,EIA861_sales!$A$4:$A$51,0))-INDEX(EIA861_sales!$E$4:$E$51,MATCH($B51,EIA861_sales!$A$4:$A$51,0)),"")</f>
        <v>-5115.9000000000015</v>
      </c>
      <c r="G51" t="str">
        <f>IFERROR(IF(AND(OR(D51&gt;=Keys!$C$10,C51&gt;=Keys!$C$11),AND(F51&gt;0,F51&gt;Keys!$C$9*E51)),"industrial","commercial"),"commercial")</f>
        <v>commercial</v>
      </c>
      <c r="H51" t="str">
        <f>IF(ISNA(MATCH($A51,EPRI_DC_2023!$A$2:$A$45,0)),"n/a - missing DC data",IFERROR(IF(NOT(OR(D51&gt;=Keys!$C$10,C51&gt;=Keys!$C$11)),"n/a - immaterial",IF(OR(AND(E51&gt;0,E51&gt;Keys!$C$9*F51),AND(F51&gt;0,F51&gt;Keys!$C$9*E51)),"high","LOW - verify")),"n/a - missing DC data"))</f>
        <v>high</v>
      </c>
    </row>
    <row r="52" spans="1:8" x14ac:dyDescent="0.45">
      <c r="A52" t="s">
        <v>114</v>
      </c>
      <c r="B52" t="s">
        <v>115</v>
      </c>
      <c r="C52">
        <f>IFERROR(INDEX(EPRI_DC_2023!$B$2:$B$45,MATCH($A52,EPRI_DC_2023!$A$2:$A$45,0))/1000,0)</f>
        <v>0</v>
      </c>
      <c r="D52">
        <f>IFERROR(INDEX(EPRI_DC_2023!$C$2:$C$45,MATCH($A52,EPRI_DC_2023!$A$2:$A$45,0)),0)</f>
        <v>0</v>
      </c>
      <c r="E52">
        <f>IFERROR(INDEX(EIA861_sales!$D$4:$D$51,MATCH($B52,EIA861_sales!$A$4:$A$51,0))-INDEX(EIA861_sales!$C$4:$C$51,MATCH($B52,EIA861_sales!$A$4:$A$51,0)),"")</f>
        <v>-600.39999999999964</v>
      </c>
      <c r="F52">
        <f>IFERROR(INDEX(EIA861_sales!$F$4:$F$51,MATCH($B52,EIA861_sales!$A$4:$A$51,0))-INDEX(EIA861_sales!$E$4:$E$51,MATCH($B52,EIA861_sales!$A$4:$A$51,0)),"")</f>
        <v>470</v>
      </c>
      <c r="G52" t="str">
        <f>IFERROR(IF(AND(OR(D52&gt;=Keys!$C$10,C52&gt;=Keys!$C$11),AND(F52&gt;0,F52&gt;Keys!$C$9*E52)),"industrial","commercial"),"commercial")</f>
        <v>commercial</v>
      </c>
      <c r="H52" t="str">
        <f>IF(ISNA(MATCH($A52,EPRI_DC_2023!$A$2:$A$45,0)),"n/a - missing DC data",IFERROR(IF(NOT(OR(D52&gt;=Keys!$C$10,C52&gt;=Keys!$C$11)),"n/a - immaterial",IF(OR(AND(E52&gt;0,E52&gt;Keys!$C$9*F52),AND(F52&gt;0,F52&gt;Keys!$C$9*E52)),"high","LOW - verify")),"n/a - missing DC data"))</f>
        <v>n/a - missing DC data</v>
      </c>
    </row>
    <row r="53" spans="1:8" x14ac:dyDescent="0.45">
      <c r="A53" t="s">
        <v>116</v>
      </c>
      <c r="B53" t="s">
        <v>117</v>
      </c>
      <c r="C53">
        <f>IFERROR(INDEX(EPRI_DC_2023!$B$2:$B$45,MATCH($A53,EPRI_DC_2023!$A$2:$A$45,0))/1000,0)</f>
        <v>148.91999999999999</v>
      </c>
      <c r="D53">
        <f>IFERROR(INDEX(EPRI_DC_2023!$C$2:$C$45,MATCH($A53,EPRI_DC_2023!$A$2:$A$45,0)),0)</f>
        <v>2.0999999999999999E-3</v>
      </c>
      <c r="E53">
        <f>IFERROR(INDEX(EIA861_sales!$D$4:$D$51,MATCH($B53,EIA861_sales!$A$4:$A$51,0))-INDEX(EIA861_sales!$C$4:$C$51,MATCH($B53,EIA861_sales!$A$4:$A$51,0)),"")</f>
        <v>-880.60000000000218</v>
      </c>
      <c r="F53">
        <f>IFERROR(INDEX(EIA861_sales!$F$4:$F$51,MATCH($B53,EIA861_sales!$A$4:$A$51,0))-INDEX(EIA861_sales!$E$4:$E$51,MATCH($B53,EIA861_sales!$A$4:$A$51,0)),"")</f>
        <v>-1293.5</v>
      </c>
      <c r="G53" t="str">
        <f>IFERROR(IF(AND(OR(D53&gt;=Keys!$C$10,C53&gt;=Keys!$C$11),AND(F53&gt;0,F53&gt;Keys!$C$9*E53)),"industrial","commercial"),"commercial")</f>
        <v>commercial</v>
      </c>
      <c r="H53" t="str">
        <f>IF(ISNA(MATCH($A53,EPRI_DC_2023!$A$2:$A$45,0)),"n/a - missing DC data",IFERROR(IF(NOT(OR(D53&gt;=Keys!$C$10,C53&gt;=Keys!$C$11)),"n/a - immaterial",IF(OR(AND(E53&gt;0,E53&gt;Keys!$C$9*F53),AND(F53&gt;0,F53&gt;Keys!$C$9*E53)),"high","LOW - verify")),"n/a - missing DC data"))</f>
        <v>n/a - immaterial</v>
      </c>
    </row>
    <row r="54" spans="1:8" x14ac:dyDescent="0.45">
      <c r="A54" t="s">
        <v>118</v>
      </c>
      <c r="B54" t="s">
        <v>119</v>
      </c>
      <c r="C54">
        <f>IFERROR(INDEX(EPRI_DC_2023!$B$2:$B$45,MATCH($A54,EPRI_DC_2023!$A$2:$A$45,0))/1000,0)</f>
        <v>1857.12</v>
      </c>
      <c r="D54">
        <f>IFERROR(INDEX(EPRI_DC_2023!$C$2:$C$45,MATCH($A54,EPRI_DC_2023!$A$2:$A$45,0)),0)</f>
        <v>0.11260000000000001</v>
      </c>
      <c r="E54">
        <f>IFERROR(INDEX(EIA861_sales!$D$4:$D$51,MATCH($B54,EIA861_sales!$A$4:$A$51,0))-INDEX(EIA861_sales!$C$4:$C$51,MATCH($B54,EIA861_sales!$A$4:$A$51,0)),"")</f>
        <v>1288.6999999999998</v>
      </c>
      <c r="F54">
        <f>IFERROR(INDEX(EIA861_sales!$F$4:$F$51,MATCH($B54,EIA861_sales!$A$4:$A$51,0))-INDEX(EIA861_sales!$E$4:$E$51,MATCH($B54,EIA861_sales!$A$4:$A$51,0)),"")</f>
        <v>-1562.8000000000011</v>
      </c>
      <c r="G54" t="str">
        <f>IFERROR(IF(AND(OR(D54&gt;=Keys!$C$10,C54&gt;=Keys!$C$11),AND(F54&gt;0,F54&gt;Keys!$C$9*E54)),"industrial","commercial"),"commercial")</f>
        <v>commercial</v>
      </c>
      <c r="H54" t="str">
        <f>IF(ISNA(MATCH($A54,EPRI_DC_2023!$A$2:$A$45,0)),"n/a - missing DC data",IFERROR(IF(NOT(OR(D54&gt;=Keys!$C$10,C54&gt;=Keys!$C$11)),"n/a - immaterial",IF(OR(AND(E54&gt;0,E54&gt;Keys!$C$9*F54),AND(F54&gt;0,F54&gt;Keys!$C$9*E54)),"high","LOW - verify")),"n/a - missing DC data"))</f>
        <v>high</v>
      </c>
    </row>
  </sheetData>
  <mergeCells count="1">
    <mergeCell ref="A2:H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2"/>
  <sheetViews>
    <sheetView workbookViewId="0">
      <pane ySplit="1" topLeftCell="A2" activePane="bottomLeft" state="frozen"/>
      <selection pane="bottomLeft"/>
    </sheetView>
  </sheetViews>
  <sheetFormatPr defaultRowHeight="14.25" x14ac:dyDescent="0.45"/>
  <cols>
    <col min="1" max="20" width="24" customWidth="1"/>
  </cols>
  <sheetData>
    <row r="1" spans="1:20" x14ac:dyDescent="0.45">
      <c r="A1" s="8" t="s">
        <v>203</v>
      </c>
      <c r="B1" s="8" t="s">
        <v>204</v>
      </c>
      <c r="C1" s="8" t="s">
        <v>205</v>
      </c>
      <c r="D1" s="8" t="s">
        <v>206</v>
      </c>
      <c r="E1" s="8" t="s">
        <v>207</v>
      </c>
      <c r="F1" s="8" t="s">
        <v>208</v>
      </c>
      <c r="G1" s="8" t="s">
        <v>209</v>
      </c>
      <c r="H1" s="8" t="s">
        <v>210</v>
      </c>
      <c r="I1" s="8" t="s">
        <v>145</v>
      </c>
      <c r="J1" s="8" t="s">
        <v>211</v>
      </c>
      <c r="K1" s="8" t="s">
        <v>212</v>
      </c>
      <c r="L1" s="8" t="s">
        <v>213</v>
      </c>
      <c r="M1" s="8" t="s">
        <v>214</v>
      </c>
      <c r="N1" s="8" t="s">
        <v>215</v>
      </c>
      <c r="O1" s="8" t="s">
        <v>216</v>
      </c>
      <c r="P1" s="8" t="s">
        <v>217</v>
      </c>
      <c r="Q1" s="8" t="s">
        <v>218</v>
      </c>
      <c r="R1" s="8" t="s">
        <v>219</v>
      </c>
      <c r="S1" s="8" t="s">
        <v>220</v>
      </c>
      <c r="T1" s="8" t="s">
        <v>221</v>
      </c>
    </row>
    <row r="2" spans="1:20" x14ac:dyDescent="0.45">
      <c r="A2" t="s">
        <v>222</v>
      </c>
      <c r="B2" t="s">
        <v>82</v>
      </c>
      <c r="C2">
        <v>2026</v>
      </c>
      <c r="D2" t="s">
        <v>223</v>
      </c>
      <c r="E2" t="s">
        <v>224</v>
      </c>
      <c r="F2" t="s">
        <v>83</v>
      </c>
      <c r="G2" t="s">
        <v>225</v>
      </c>
      <c r="H2" t="s">
        <v>226</v>
      </c>
      <c r="I2" t="s">
        <v>227</v>
      </c>
      <c r="J2" t="s">
        <v>228</v>
      </c>
      <c r="K2" t="s">
        <v>229</v>
      </c>
      <c r="L2">
        <v>2026</v>
      </c>
      <c r="M2" t="s">
        <v>230</v>
      </c>
      <c r="N2" t="s">
        <v>231</v>
      </c>
      <c r="O2" t="s">
        <v>232</v>
      </c>
      <c r="P2" t="s">
        <v>233</v>
      </c>
      <c r="Q2" t="s">
        <v>233</v>
      </c>
      <c r="R2" t="s">
        <v>233</v>
      </c>
      <c r="S2" t="s">
        <v>234</v>
      </c>
      <c r="T2" t="s">
        <v>235</v>
      </c>
    </row>
  </sheetData>
  <autoFilter ref="A1:T2"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9"/>
  <sheetViews>
    <sheetView workbookViewId="0"/>
  </sheetViews>
  <sheetFormatPr defaultRowHeight="14.25" x14ac:dyDescent="0.45"/>
  <sheetData>
    <row r="1" spans="1:28" x14ac:dyDescent="0.45">
      <c r="B1" t="str">
        <f>About!B1</f>
        <v>Florida</v>
      </c>
    </row>
    <row r="2" spans="1:28" x14ac:dyDescent="0.45">
      <c r="B2" t="str">
        <f>About!B2</f>
        <v>FL</v>
      </c>
    </row>
    <row r="4" spans="1:28" x14ac:dyDescent="0.45">
      <c r="B4">
        <v>2024</v>
      </c>
      <c r="C4">
        <v>2025</v>
      </c>
      <c r="D4">
        <v>2026</v>
      </c>
      <c r="E4">
        <v>2027</v>
      </c>
      <c r="F4">
        <v>2028</v>
      </c>
      <c r="G4">
        <v>2029</v>
      </c>
      <c r="H4">
        <v>2030</v>
      </c>
      <c r="I4">
        <v>2031</v>
      </c>
      <c r="J4">
        <v>2032</v>
      </c>
      <c r="K4">
        <v>2033</v>
      </c>
      <c r="L4">
        <v>2034</v>
      </c>
      <c r="M4">
        <v>2035</v>
      </c>
      <c r="N4">
        <v>2036</v>
      </c>
      <c r="O4">
        <v>2037</v>
      </c>
      <c r="P4">
        <v>2038</v>
      </c>
      <c r="Q4">
        <v>2039</v>
      </c>
      <c r="R4">
        <v>2040</v>
      </c>
      <c r="S4">
        <v>2041</v>
      </c>
      <c r="T4">
        <v>2042</v>
      </c>
      <c r="U4">
        <v>2043</v>
      </c>
      <c r="V4">
        <v>2044</v>
      </c>
      <c r="W4">
        <v>2045</v>
      </c>
      <c r="X4">
        <v>2046</v>
      </c>
      <c r="Y4">
        <v>2047</v>
      </c>
      <c r="Z4">
        <v>2048</v>
      </c>
      <c r="AA4">
        <v>2049</v>
      </c>
      <c r="AB4">
        <v>2050</v>
      </c>
    </row>
    <row r="5" spans="1:28" x14ac:dyDescent="0.45">
      <c r="A5" t="s">
        <v>236</v>
      </c>
      <c r="B5" t="str">
        <f t="shared" ref="B5:AB5" si="0">IFERROR(IF(VALUE(INDEX($F$8:$F$100,MATCH($B$2,$C$8:$C$100,0)))=B4,INDEX($E$8:$E$100,MATCH($B$2,$C$8:$C$100,0)),IFERROR(IF(VALUE(INDEX($I$8:$I$100,MATCH($B$2,$C$8:$C$100,0)))=B4,INDEX($H$8:$H$100,MATCH($B$2,$C$8:$C$100,0)),""),"")),"")</f>
        <v/>
      </c>
      <c r="C5" t="str">
        <f t="shared" si="0"/>
        <v/>
      </c>
      <c r="D5" t="str">
        <f t="shared" si="0"/>
        <v/>
      </c>
      <c r="E5" t="str">
        <f t="shared" si="0"/>
        <v/>
      </c>
      <c r="F5" t="str">
        <f t="shared" si="0"/>
        <v/>
      </c>
      <c r="G5" t="str">
        <f t="shared" si="0"/>
        <v/>
      </c>
      <c r="H5" t="str">
        <f t="shared" si="0"/>
        <v/>
      </c>
      <c r="I5" t="str">
        <f t="shared" si="0"/>
        <v/>
      </c>
      <c r="J5" t="str">
        <f t="shared" si="0"/>
        <v/>
      </c>
      <c r="K5" t="str">
        <f t="shared" si="0"/>
        <v/>
      </c>
      <c r="L5" t="str">
        <f t="shared" si="0"/>
        <v/>
      </c>
      <c r="M5" t="str">
        <f t="shared" si="0"/>
        <v/>
      </c>
      <c r="N5" t="str">
        <f t="shared" si="0"/>
        <v/>
      </c>
      <c r="O5" t="str">
        <f t="shared" si="0"/>
        <v/>
      </c>
      <c r="P5" t="str">
        <f t="shared" si="0"/>
        <v/>
      </c>
      <c r="Q5" t="str">
        <f t="shared" si="0"/>
        <v/>
      </c>
      <c r="R5" t="str">
        <f t="shared" si="0"/>
        <v/>
      </c>
      <c r="S5" t="str">
        <f t="shared" si="0"/>
        <v/>
      </c>
      <c r="T5" t="str">
        <f t="shared" si="0"/>
        <v/>
      </c>
      <c r="U5" t="str">
        <f t="shared" si="0"/>
        <v/>
      </c>
      <c r="V5" t="str">
        <f t="shared" si="0"/>
        <v/>
      </c>
      <c r="W5" t="str">
        <f t="shared" si="0"/>
        <v/>
      </c>
      <c r="X5" t="str">
        <f t="shared" si="0"/>
        <v/>
      </c>
      <c r="Y5" t="str">
        <f t="shared" si="0"/>
        <v/>
      </c>
      <c r="Z5" t="str">
        <f t="shared" si="0"/>
        <v/>
      </c>
      <c r="AA5" t="str">
        <f t="shared" si="0"/>
        <v/>
      </c>
      <c r="AB5" t="str">
        <f t="shared" si="0"/>
        <v/>
      </c>
    </row>
    <row r="8" spans="1:28" x14ac:dyDescent="0.45">
      <c r="A8" s="1" t="s">
        <v>204</v>
      </c>
      <c r="B8" s="1" t="s">
        <v>207</v>
      </c>
      <c r="D8" s="1" t="s">
        <v>237</v>
      </c>
      <c r="E8" s="1" t="s">
        <v>238</v>
      </c>
      <c r="F8" s="1" t="s">
        <v>239</v>
      </c>
      <c r="G8" s="1" t="s">
        <v>240</v>
      </c>
      <c r="H8" s="1" t="s">
        <v>241</v>
      </c>
      <c r="I8" s="1" t="s">
        <v>242</v>
      </c>
    </row>
    <row r="9" spans="1:28" x14ac:dyDescent="0.45">
      <c r="A9" t="str">
        <f>IF(ISBLANK('State Policies'!B2),"",'State Policies'!B2)</f>
        <v>New York</v>
      </c>
      <c r="B9" t="str">
        <f>IF(ISBLANK('State Policies'!E2),"",'State Policies'!E2)</f>
        <v>0% 2028</v>
      </c>
      <c r="C9" t="str">
        <f>IF(ISBLANK('State Policies'!F2),"",'State Policies'!F2)</f>
        <v>NY</v>
      </c>
      <c r="D9" t="str">
        <f>IF($B9="","",IFERROR(INDEX(_xlfn.TEXTSPLIT($B9,";"),1,1),""))</f>
        <v>0% 2028</v>
      </c>
      <c r="E9">
        <f>IF($D9="","",IFERROR(INDEX(_xlfn.TEXTSPLIT($D9,"% "),1,1)/100,""))</f>
        <v>0</v>
      </c>
      <c r="F9">
        <f>IF($D9="","",IFERROR(VALUE(INDEX(_xlfn.TEXTSPLIT($D9,"% "),1,2)),""))</f>
        <v>2028</v>
      </c>
      <c r="G9" t="str">
        <f>IF($B9="","",IFERROR(INDEX(_xlfn.TEXTSPLIT($B9,";"),1,2),""))</f>
        <v/>
      </c>
      <c r="H9" t="str">
        <f>IF($G9="","",IFERROR(INDEX(_xlfn.TEXTSPLIT($G9,"% "),1,1)/100,""))</f>
        <v/>
      </c>
      <c r="I9" t="str">
        <f>IF($G9="","",IFERROR(VALUE(INDEX(_xlfn.TEXTSPLIT($G9,"% "),1,2)),""))</f>
        <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7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29" x14ac:dyDescent="0.45">
      <c r="A1" s="1" t="s">
        <v>243</v>
      </c>
    </row>
    <row r="3" spans="1:29" x14ac:dyDescent="0.45">
      <c r="A3" s="1" t="s">
        <v>244</v>
      </c>
    </row>
    <row r="4" spans="1:29" x14ac:dyDescent="0.45">
      <c r="A4" t="s">
        <v>245</v>
      </c>
      <c r="B4" t="str">
        <f>About!$B$1</f>
        <v>Florida</v>
      </c>
    </row>
    <row r="5" spans="1:29" x14ac:dyDescent="0.45">
      <c r="A5" t="s">
        <v>246</v>
      </c>
      <c r="B5" t="str">
        <f>About!$B$2</f>
        <v>FL</v>
      </c>
    </row>
    <row r="7" spans="1:29" x14ac:dyDescent="0.45">
      <c r="A7" s="1" t="s">
        <v>247</v>
      </c>
    </row>
    <row r="8" spans="1:29" x14ac:dyDescent="0.45">
      <c r="A8" s="1" t="s">
        <v>248</v>
      </c>
      <c r="B8" s="1">
        <v>2024</v>
      </c>
      <c r="C8" s="1">
        <v>2025</v>
      </c>
      <c r="D8" s="1">
        <v>2026</v>
      </c>
      <c r="E8" s="1">
        <v>2027</v>
      </c>
      <c r="F8" s="1">
        <v>2028</v>
      </c>
      <c r="G8" s="1">
        <v>2029</v>
      </c>
      <c r="H8" s="1">
        <v>2030</v>
      </c>
      <c r="I8" s="1">
        <v>2031</v>
      </c>
      <c r="J8" s="1">
        <v>2032</v>
      </c>
      <c r="K8" s="1">
        <v>2033</v>
      </c>
      <c r="L8" s="1">
        <v>2034</v>
      </c>
      <c r="M8" s="1">
        <v>2035</v>
      </c>
      <c r="N8" s="1">
        <v>2036</v>
      </c>
      <c r="O8" s="1">
        <v>2037</v>
      </c>
      <c r="P8" s="1">
        <v>2038</v>
      </c>
      <c r="Q8" s="1">
        <v>2039</v>
      </c>
      <c r="R8" s="1">
        <v>2040</v>
      </c>
      <c r="S8" s="1">
        <v>2041</v>
      </c>
      <c r="T8" s="1">
        <v>2042</v>
      </c>
      <c r="U8" s="1">
        <v>2043</v>
      </c>
      <c r="V8" s="1">
        <v>2044</v>
      </c>
      <c r="W8" s="1">
        <v>2045</v>
      </c>
      <c r="X8" s="1">
        <v>2046</v>
      </c>
      <c r="Y8" s="1">
        <v>2047</v>
      </c>
      <c r="Z8" s="1">
        <v>2048</v>
      </c>
      <c r="AA8" s="1">
        <v>2049</v>
      </c>
      <c r="AB8" s="1">
        <v>2050</v>
      </c>
      <c r="AC8" s="1" t="s">
        <v>249</v>
      </c>
    </row>
    <row r="9" spans="1:29" x14ac:dyDescent="0.45">
      <c r="A9" t="s">
        <v>6</v>
      </c>
      <c r="B9">
        <f>IFERROR(EPRI_PI2026!$F$2,0)</f>
        <v>353</v>
      </c>
      <c r="C9">
        <f t="shared" ref="C9:H18" si="0">B9*(1+$AC9)</f>
        <v>368.11899692859652</v>
      </c>
      <c r="D9">
        <f t="shared" si="0"/>
        <v>383.8855407923968</v>
      </c>
      <c r="E9">
        <f t="shared" si="0"/>
        <v>400.32736603934541</v>
      </c>
      <c r="F9">
        <f t="shared" si="0"/>
        <v>417.47339498433695</v>
      </c>
      <c r="G9">
        <f t="shared" si="0"/>
        <v>435.35378868558047</v>
      </c>
      <c r="H9">
        <f t="shared" si="0"/>
        <v>454.00000000000017</v>
      </c>
      <c r="I9">
        <f>H9*(1+$AC9/Keys!$C$7^ROUNDUP((I$8-Keys!$C$6)/Keys!$C$8,0))</f>
        <v>458.86120722775007</v>
      </c>
      <c r="J9">
        <f>I9*(1+$AC9/Keys!$C$7^ROUNDUP((J$8-Keys!$C$6)/Keys!$C$8,0))</f>
        <v>463.77446585574472</v>
      </c>
      <c r="K9">
        <f>J9*(1+$AC9/Keys!$C$7^ROUNDUP((K$8-Keys!$C$6)/Keys!$C$8,0))</f>
        <v>468.7403332246077</v>
      </c>
      <c r="L9">
        <f>K9*(1+$AC9/Keys!$C$7^ROUNDUP((L$8-Keys!$C$6)/Keys!$C$8,0))</f>
        <v>473.75937264268998</v>
      </c>
      <c r="M9">
        <f>L9*(1+$AC9/Keys!$C$7^ROUNDUP((M$8-Keys!$C$6)/Keys!$C$8,0))</f>
        <v>478.8321534499695</v>
      </c>
      <c r="N9">
        <f>M9*(1+$AC9/Keys!$C$7^ROUNDUP((N$8-Keys!$C$6)/Keys!$C$8,0))</f>
        <v>480.11392785813575</v>
      </c>
      <c r="O9">
        <f>N9*(1+$AC9/Keys!$C$7^ROUNDUP((O$8-Keys!$C$6)/Keys!$C$8,0))</f>
        <v>481.39913341774326</v>
      </c>
      <c r="P9">
        <f>O9*(1+$AC9/Keys!$C$7^ROUNDUP((P$8-Keys!$C$6)/Keys!$C$8,0))</f>
        <v>482.68777931355976</v>
      </c>
      <c r="Q9">
        <f>P9*(1+$AC9/Keys!$C$7^ROUNDUP((Q$8-Keys!$C$6)/Keys!$C$8,0))</f>
        <v>483.97987475493943</v>
      </c>
      <c r="R9">
        <f>Q9*(1+$AC9/Keys!$C$7^ROUNDUP((R$8-Keys!$C$6)/Keys!$C$8,0))</f>
        <v>485.27542897588881</v>
      </c>
      <c r="S9">
        <f>R9*(1+$AC9/Keys!$C$7^ROUNDUP((S$8-Keys!$C$6)/Keys!$C$8,0))</f>
        <v>485.60018454069984</v>
      </c>
      <c r="T9">
        <f>S9*(1+$AC9/Keys!$C$7^ROUNDUP((T$8-Keys!$C$6)/Keys!$C$8,0))</f>
        <v>485.92515743812362</v>
      </c>
      <c r="U9">
        <f>T9*(1+$AC9/Keys!$C$7^ROUNDUP((U$8-Keys!$C$6)/Keys!$C$8,0))</f>
        <v>486.25034781360324</v>
      </c>
      <c r="V9">
        <f>U9*(1+$AC9/Keys!$C$7^ROUNDUP((V$8-Keys!$C$6)/Keys!$C$8,0))</f>
        <v>486.57575581267918</v>
      </c>
      <c r="W9">
        <f>V9*(1+$AC9/Keys!$C$7^ROUNDUP((W$8-Keys!$C$6)/Keys!$C$8,0))</f>
        <v>486.90138158098932</v>
      </c>
      <c r="X9">
        <f>W9*(1+$AC9/Keys!$C$7^ROUNDUP((X$8-Keys!$C$6)/Keys!$C$8,0))</f>
        <v>486.98284250180916</v>
      </c>
      <c r="Y9">
        <f>X9*(1+$AC9/Keys!$C$7^ROUNDUP((Y$8-Keys!$C$6)/Keys!$C$8,0))</f>
        <v>487.06431705142916</v>
      </c>
      <c r="Z9">
        <f>Y9*(1+$AC9/Keys!$C$7^ROUNDUP((Z$8-Keys!$C$6)/Keys!$C$8,0))</f>
        <v>487.14580523212948</v>
      </c>
      <c r="AA9">
        <f>Z9*(1+$AC9/Keys!$C$7^ROUNDUP((AA$8-Keys!$C$6)/Keys!$C$8,0))</f>
        <v>487.22730704619062</v>
      </c>
      <c r="AB9">
        <f>AA9*(1+$AC9/Keys!$C$7^ROUNDUP((AB$8-Keys!$C$6)/Keys!$C$8,0))</f>
        <v>487.30882249589354</v>
      </c>
      <c r="AC9">
        <f>IFERROR((EPRI_PI2026!$H$2/EPRI_PI2026!$F$2)^(1/6)-1,0)</f>
        <v>4.2830019627752236E-2</v>
      </c>
    </row>
    <row r="10" spans="1:29" x14ac:dyDescent="0.45">
      <c r="A10" t="s">
        <v>8</v>
      </c>
      <c r="B10">
        <f>IFERROR(EPRI_PI2026!$F$5,0)</f>
        <v>1864</v>
      </c>
      <c r="C10">
        <f t="shared" si="0"/>
        <v>1962.2680585996713</v>
      </c>
      <c r="D10">
        <f t="shared" si="0"/>
        <v>2065.7167026826842</v>
      </c>
      <c r="E10">
        <f t="shared" si="0"/>
        <v>2174.6190470976744</v>
      </c>
      <c r="F10">
        <f t="shared" si="0"/>
        <v>2289.2626050119211</v>
      </c>
      <c r="G10">
        <f t="shared" si="0"/>
        <v>2409.9500469750906</v>
      </c>
      <c r="H10">
        <f t="shared" si="0"/>
        <v>2536.9999999999991</v>
      </c>
      <c r="I10">
        <f>H10*(1+$AC10/Keys!$C$7^ROUNDUP((I$8-Keys!$C$6)/Keys!$C$8,0))</f>
        <v>2570.4369721925104</v>
      </c>
      <c r="J10">
        <f>I10*(1+$AC10/Keys!$C$7^ROUNDUP((J$8-Keys!$C$6)/Keys!$C$8,0))</f>
        <v>2604.3146346134031</v>
      </c>
      <c r="K10">
        <f>J10*(1+$AC10/Keys!$C$7^ROUNDUP((K$8-Keys!$C$6)/Keys!$C$8,0))</f>
        <v>2638.6387954404108</v>
      </c>
      <c r="L10">
        <f>K10*(1+$AC10/Keys!$C$7^ROUNDUP((L$8-Keys!$C$6)/Keys!$C$8,0))</f>
        <v>2673.4153394014761</v>
      </c>
      <c r="M10">
        <f>L10*(1+$AC10/Keys!$C$7^ROUNDUP((M$8-Keys!$C$6)/Keys!$C$8,0))</f>
        <v>2708.6502287836602</v>
      </c>
      <c r="N10">
        <f>M10*(1+$AC10/Keys!$C$7^ROUNDUP((N$8-Keys!$C$6)/Keys!$C$8,0))</f>
        <v>2717.5750477015831</v>
      </c>
      <c r="O10">
        <f>N10*(1+$AC10/Keys!$C$7^ROUNDUP((O$8-Keys!$C$6)/Keys!$C$8,0))</f>
        <v>2726.5292732929374</v>
      </c>
      <c r="P10">
        <f>O10*(1+$AC10/Keys!$C$7^ROUNDUP((P$8-Keys!$C$6)/Keys!$C$8,0))</f>
        <v>2735.5130024507189</v>
      </c>
      <c r="Q10">
        <f>P10*(1+$AC10/Keys!$C$7^ROUNDUP((Q$8-Keys!$C$6)/Keys!$C$8,0))</f>
        <v>2744.5263323871795</v>
      </c>
      <c r="R10">
        <f>Q10*(1+$AC10/Keys!$C$7^ROUNDUP((R$8-Keys!$C$6)/Keys!$C$8,0))</f>
        <v>2753.5693606348786</v>
      </c>
      <c r="S10">
        <f>R10*(1+$AC10/Keys!$C$7^ROUNDUP((S$8-Keys!$C$6)/Keys!$C$8,0))</f>
        <v>2755.8375667380933</v>
      </c>
      <c r="T10">
        <f>S10*(1+$AC10/Keys!$C$7^ROUNDUP((T$8-Keys!$C$6)/Keys!$C$8,0))</f>
        <v>2758.1076412376524</v>
      </c>
      <c r="U10">
        <f>T10*(1+$AC10/Keys!$C$7^ROUNDUP((U$8-Keys!$C$6)/Keys!$C$8,0))</f>
        <v>2760.3795856726151</v>
      </c>
      <c r="V10">
        <f>U10*(1+$AC10/Keys!$C$7^ROUNDUP((V$8-Keys!$C$6)/Keys!$C$8,0))</f>
        <v>2762.6534015833095</v>
      </c>
      <c r="W10">
        <f>V10*(1+$AC10/Keys!$C$7^ROUNDUP((W$8-Keys!$C$6)/Keys!$C$8,0))</f>
        <v>2764.9290905113317</v>
      </c>
      <c r="X10">
        <f>W10*(1+$AC10/Keys!$C$7^ROUNDUP((X$8-Keys!$C$6)/Keys!$C$8,0))</f>
        <v>2765.4984813833858</v>
      </c>
      <c r="Y10">
        <f>X10*(1+$AC10/Keys!$C$7^ROUNDUP((Y$8-Keys!$C$6)/Keys!$C$8,0))</f>
        <v>2766.0679895119606</v>
      </c>
      <c r="Z10">
        <f>Y10*(1+$AC10/Keys!$C$7^ROUNDUP((Z$8-Keys!$C$6)/Keys!$C$8,0))</f>
        <v>2766.6376149212033</v>
      </c>
      <c r="AA10">
        <f>Z10*(1+$AC10/Keys!$C$7^ROUNDUP((AA$8-Keys!$C$6)/Keys!$C$8,0))</f>
        <v>2767.2073576352655</v>
      </c>
      <c r="AB10">
        <f>AA10*(1+$AC10/Keys!$C$7^ROUNDUP((AB$8-Keys!$C$6)/Keys!$C$8,0))</f>
        <v>2767.7772176783046</v>
      </c>
      <c r="AC10">
        <f>IFERROR((EPRI_PI2026!$H$5/EPRI_PI2026!$F$5)^(1/6)-1,0)</f>
        <v>5.2718915557763646E-2</v>
      </c>
    </row>
    <row r="11" spans="1:29" x14ac:dyDescent="0.45">
      <c r="A11" t="s">
        <v>11</v>
      </c>
      <c r="B11">
        <f>IFERROR(EPRI_PI2026!$F$4,0)</f>
        <v>11</v>
      </c>
      <c r="C11">
        <f t="shared" si="0"/>
        <v>10.431391266339855</v>
      </c>
      <c r="D11">
        <f t="shared" si="0"/>
        <v>9.8921748864974006</v>
      </c>
      <c r="E11">
        <f t="shared" si="0"/>
        <v>9.3808315196468577</v>
      </c>
      <c r="F11">
        <f t="shared" si="0"/>
        <v>8.8959203622772609</v>
      </c>
      <c r="G11">
        <f t="shared" si="0"/>
        <v>8.4360750884649001</v>
      </c>
      <c r="H11">
        <f t="shared" si="0"/>
        <v>7.9999999999999982</v>
      </c>
      <c r="I11">
        <f>H11*(1+$AC11/Keys!$C$7^ROUNDUP((I$8-Keys!$C$6)/Keys!$C$8,0))</f>
        <v>7.8966165938799717</v>
      </c>
      <c r="J11">
        <f>I11*(1+$AC11/Keys!$C$7^ROUNDUP((J$8-Keys!$C$6)/Keys!$C$8,0))</f>
        <v>7.7945692038425678</v>
      </c>
      <c r="K11">
        <f>J11*(1+$AC11/Keys!$C$7^ROUNDUP((K$8-Keys!$C$6)/Keys!$C$8,0))</f>
        <v>7.6938405646511292</v>
      </c>
      <c r="L11">
        <f>K11*(1+$AC11/Keys!$C$7^ROUNDUP((L$8-Keys!$C$6)/Keys!$C$8,0))</f>
        <v>7.5944136341863713</v>
      </c>
      <c r="M11">
        <f>L11*(1+$AC11/Keys!$C$7^ROUNDUP((M$8-Keys!$C$6)/Keys!$C$8,0))</f>
        <v>7.4962715905630519</v>
      </c>
      <c r="N11">
        <f>M11*(1+$AC11/Keys!$C$7^ROUNDUP((N$8-Keys!$C$6)/Keys!$C$8,0))</f>
        <v>7.4720531502432639</v>
      </c>
      <c r="O11">
        <f>N11*(1+$AC11/Keys!$C$7^ROUNDUP((O$8-Keys!$C$6)/Keys!$C$8,0))</f>
        <v>7.4479129532000758</v>
      </c>
      <c r="P11">
        <f>O11*(1+$AC11/Keys!$C$7^ROUNDUP((P$8-Keys!$C$6)/Keys!$C$8,0))</f>
        <v>7.4238507466504728</v>
      </c>
      <c r="Q11">
        <f>P11*(1+$AC11/Keys!$C$7^ROUNDUP((Q$8-Keys!$C$6)/Keys!$C$8,0))</f>
        <v>7.3998662786281155</v>
      </c>
      <c r="R11">
        <f>Q11*(1+$AC11/Keys!$C$7^ROUNDUP((R$8-Keys!$C$6)/Keys!$C$8,0))</f>
        <v>7.3759592979806996</v>
      </c>
      <c r="S11">
        <f>R11*(1+$AC11/Keys!$C$7^ROUNDUP((S$8-Keys!$C$6)/Keys!$C$8,0))</f>
        <v>7.3700018620773564</v>
      </c>
      <c r="T11">
        <f>S11*(1+$AC11/Keys!$C$7^ROUNDUP((T$8-Keys!$C$6)/Keys!$C$8,0))</f>
        <v>7.3640492378928837</v>
      </c>
      <c r="U11">
        <f>T11*(1+$AC11/Keys!$C$7^ROUNDUP((U$8-Keys!$C$6)/Keys!$C$8,0))</f>
        <v>7.3581014215409386</v>
      </c>
      <c r="V11">
        <f>U11*(1+$AC11/Keys!$C$7^ROUNDUP((V$8-Keys!$C$6)/Keys!$C$8,0))</f>
        <v>7.3521584091383172</v>
      </c>
      <c r="W11">
        <f>V11*(1+$AC11/Keys!$C$7^ROUNDUP((W$8-Keys!$C$6)/Keys!$C$8,0))</f>
        <v>7.3462201968049516</v>
      </c>
      <c r="X11">
        <f>W11*(1+$AC11/Keys!$C$7^ROUNDUP((X$8-Keys!$C$6)/Keys!$C$8,0))</f>
        <v>7.3447368427696906</v>
      </c>
      <c r="Y11">
        <f>X11*(1+$AC11/Keys!$C$7^ROUNDUP((Y$8-Keys!$C$6)/Keys!$C$8,0))</f>
        <v>7.3432537882543372</v>
      </c>
      <c r="Z11">
        <f>Y11*(1+$AC11/Keys!$C$7^ROUNDUP((Z$8-Keys!$C$6)/Keys!$C$8,0))</f>
        <v>7.3417710331984125</v>
      </c>
      <c r="AA11">
        <f>Z11*(1+$AC11/Keys!$C$7^ROUNDUP((AA$8-Keys!$C$6)/Keys!$C$8,0))</f>
        <v>7.3402885775414486</v>
      </c>
      <c r="AB11">
        <f>AA11*(1+$AC11/Keys!$C$7^ROUNDUP((AB$8-Keys!$C$6)/Keys!$C$8,0))</f>
        <v>7.3388064212229915</v>
      </c>
      <c r="AC11">
        <f>IFERROR((EPRI_PI2026!$H$4/EPRI_PI2026!$F$4)^(1/6)-1,0)</f>
        <v>-5.1691703060013139E-2</v>
      </c>
    </row>
    <row r="12" spans="1:29" x14ac:dyDescent="0.45">
      <c r="A12" t="s">
        <v>13</v>
      </c>
      <c r="B12">
        <f>IFERROR(EPRI_PI2026!$F$6,0)</f>
        <v>1496</v>
      </c>
      <c r="C12">
        <f t="shared" si="0"/>
        <v>1494.8310522235013</v>
      </c>
      <c r="D12">
        <f t="shared" si="0"/>
        <v>1493.6630178419919</v>
      </c>
      <c r="E12">
        <f t="shared" si="0"/>
        <v>1492.4958961417612</v>
      </c>
      <c r="F12">
        <f t="shared" si="0"/>
        <v>1491.3296864096567</v>
      </c>
      <c r="G12">
        <f t="shared" si="0"/>
        <v>1490.1643879330825</v>
      </c>
      <c r="H12">
        <f t="shared" si="0"/>
        <v>1488.9999999999995</v>
      </c>
      <c r="I12">
        <f>H12*(1+$AC12/Keys!$C$7^ROUNDUP((I$8-Keys!$C$6)/Keys!$C$8,0))</f>
        <v>1488.709130474731</v>
      </c>
      <c r="J12">
        <f>I12*(1+$AC12/Keys!$C$7^ROUNDUP((J$8-Keys!$C$6)/Keys!$C$8,0))</f>
        <v>1488.4183177695302</v>
      </c>
      <c r="K12">
        <f>J12*(1+$AC12/Keys!$C$7^ROUNDUP((K$8-Keys!$C$6)/Keys!$C$8,0))</f>
        <v>1488.1275618732973</v>
      </c>
      <c r="L12">
        <f>K12*(1+$AC12/Keys!$C$7^ROUNDUP((L$8-Keys!$C$6)/Keys!$C$8,0))</f>
        <v>1487.8368627749353</v>
      </c>
      <c r="M12">
        <f>L12*(1+$AC12/Keys!$C$7^ROUNDUP((M$8-Keys!$C$6)/Keys!$C$8,0))</f>
        <v>1487.5462204633488</v>
      </c>
      <c r="N12">
        <f>M12*(1+$AC12/Keys!$C$7^ROUNDUP((N$8-Keys!$C$6)/Keys!$C$8,0))</f>
        <v>1487.4735740793728</v>
      </c>
      <c r="O12">
        <f>N12*(1+$AC12/Keys!$C$7^ROUNDUP((O$8-Keys!$C$6)/Keys!$C$8,0))</f>
        <v>1487.4009312431838</v>
      </c>
      <c r="P12">
        <f>O12*(1+$AC12/Keys!$C$7^ROUNDUP((P$8-Keys!$C$6)/Keys!$C$8,0))</f>
        <v>1487.3282919546084</v>
      </c>
      <c r="Q12">
        <f>P12*(1+$AC12/Keys!$C$7^ROUNDUP((Q$8-Keys!$C$6)/Keys!$C$8,0))</f>
        <v>1487.2556562134737</v>
      </c>
      <c r="R12">
        <f>Q12*(1+$AC12/Keys!$C$7^ROUNDUP((R$8-Keys!$C$6)/Keys!$C$8,0))</f>
        <v>1487.1830240196061</v>
      </c>
      <c r="S12">
        <f>R12*(1+$AC12/Keys!$C$7^ROUNDUP((S$8-Keys!$C$6)/Keys!$C$8,0))</f>
        <v>1487.1648668579128</v>
      </c>
      <c r="T12">
        <f>S12*(1+$AC12/Keys!$C$7^ROUNDUP((T$8-Keys!$C$6)/Keys!$C$8,0))</f>
        <v>1487.1467099179019</v>
      </c>
      <c r="U12">
        <f>T12*(1+$AC12/Keys!$C$7^ROUNDUP((U$8-Keys!$C$6)/Keys!$C$8,0))</f>
        <v>1487.1285531995709</v>
      </c>
      <c r="V12">
        <f>U12*(1+$AC12/Keys!$C$7^ROUNDUP((V$8-Keys!$C$6)/Keys!$C$8,0))</f>
        <v>1487.1103967029171</v>
      </c>
      <c r="W12">
        <f>V12*(1+$AC12/Keys!$C$7^ROUNDUP((W$8-Keys!$C$6)/Keys!$C$8,0))</f>
        <v>1487.0922404279377</v>
      </c>
      <c r="X12">
        <f>W12*(1+$AC12/Keys!$C$7^ROUNDUP((X$8-Keys!$C$6)/Keys!$C$8,0))</f>
        <v>1487.0877014146108</v>
      </c>
      <c r="Y12">
        <f>X12*(1+$AC12/Keys!$C$7^ROUNDUP((Y$8-Keys!$C$6)/Keys!$C$8,0))</f>
        <v>1487.0831624151383</v>
      </c>
      <c r="Z12">
        <f>Y12*(1+$AC12/Keys!$C$7^ROUNDUP((Z$8-Keys!$C$6)/Keys!$C$8,0))</f>
        <v>1487.0786234295199</v>
      </c>
      <c r="AA12">
        <f>Z12*(1+$AC12/Keys!$C$7^ROUNDUP((AA$8-Keys!$C$6)/Keys!$C$8,0))</f>
        <v>1487.0740844577558</v>
      </c>
      <c r="AB12">
        <f>AA12*(1+$AC12/Keys!$C$7^ROUNDUP((AB$8-Keys!$C$6)/Keys!$C$8,0))</f>
        <v>1487.0695454998458</v>
      </c>
      <c r="AC12">
        <f>IFERROR((EPRI_PI2026!$H$6/EPRI_PI2026!$F$6)^(1/6)-1,0)</f>
        <v>-7.813822035419582E-4</v>
      </c>
    </row>
    <row r="13" spans="1:29" x14ac:dyDescent="0.45">
      <c r="A13" t="s">
        <v>16</v>
      </c>
      <c r="B13">
        <f>IFERROR(EPRI_PI2026!$F$7,0)</f>
        <v>241</v>
      </c>
      <c r="C13">
        <f t="shared" si="0"/>
        <v>254.3440453047034</v>
      </c>
      <c r="D13">
        <f t="shared" si="0"/>
        <v>268.42694349361415</v>
      </c>
      <c r="E13">
        <f t="shared" si="0"/>
        <v>283.28960446864255</v>
      </c>
      <c r="F13">
        <f t="shared" si="0"/>
        <v>298.97520329180054</v>
      </c>
      <c r="G13">
        <f t="shared" si="0"/>
        <v>315.5293056059445</v>
      </c>
      <c r="H13">
        <f t="shared" si="0"/>
        <v>332.99999999999977</v>
      </c>
      <c r="I13">
        <f>H13*(1+$AC13/Keys!$C$7^ROUNDUP((I$8-Keys!$C$6)/Keys!$C$8,0))</f>
        <v>337.60950942579461</v>
      </c>
      <c r="J13">
        <f>I13*(1+$AC13/Keys!$C$7^ROUNDUP((J$8-Keys!$C$6)/Keys!$C$8,0))</f>
        <v>342.28282538956694</v>
      </c>
      <c r="K13">
        <f>J13*(1+$AC13/Keys!$C$7^ROUNDUP((K$8-Keys!$C$6)/Keys!$C$8,0))</f>
        <v>347.02083112506517</v>
      </c>
      <c r="L13">
        <f>K13*(1+$AC13/Keys!$C$7^ROUNDUP((L$8-Keys!$C$6)/Keys!$C$8,0))</f>
        <v>351.82442209208665</v>
      </c>
      <c r="M13">
        <f>L13*(1+$AC13/Keys!$C$7^ROUNDUP((M$8-Keys!$C$6)/Keys!$C$8,0))</f>
        <v>356.6945061457152</v>
      </c>
      <c r="N13">
        <f>M13*(1+$AC13/Keys!$C$7^ROUNDUP((N$8-Keys!$C$6)/Keys!$C$8,0))</f>
        <v>357.92888053626166</v>
      </c>
      <c r="O13">
        <f>N13*(1+$AC13/Keys!$C$7^ROUNDUP((O$8-Keys!$C$6)/Keys!$C$8,0))</f>
        <v>359.16752659376624</v>
      </c>
      <c r="P13">
        <f>O13*(1+$AC13/Keys!$C$7^ROUNDUP((P$8-Keys!$C$6)/Keys!$C$8,0))</f>
        <v>360.41045910072825</v>
      </c>
      <c r="Q13">
        <f>P13*(1+$AC13/Keys!$C$7^ROUNDUP((Q$8-Keys!$C$6)/Keys!$C$8,0))</f>
        <v>361.65769289080322</v>
      </c>
      <c r="R13">
        <f>Q13*(1+$AC13/Keys!$C$7^ROUNDUP((R$8-Keys!$C$6)/Keys!$C$8,0))</f>
        <v>362.90924284897994</v>
      </c>
      <c r="S13">
        <f>R13*(1+$AC13/Keys!$C$7^ROUNDUP((S$8-Keys!$C$6)/Keys!$C$8,0))</f>
        <v>363.22321311467448</v>
      </c>
      <c r="T13">
        <f>S13*(1+$AC13/Keys!$C$7^ROUNDUP((T$8-Keys!$C$6)/Keys!$C$8,0))</f>
        <v>363.53745501116839</v>
      </c>
      <c r="U13">
        <f>T13*(1+$AC13/Keys!$C$7^ROUNDUP((U$8-Keys!$C$6)/Keys!$C$8,0))</f>
        <v>363.85196877346254</v>
      </c>
      <c r="V13">
        <f>U13*(1+$AC13/Keys!$C$7^ROUNDUP((V$8-Keys!$C$6)/Keys!$C$8,0))</f>
        <v>364.1667546367612</v>
      </c>
      <c r="W13">
        <f>V13*(1+$AC13/Keys!$C$7^ROUNDUP((W$8-Keys!$C$6)/Keys!$C$8,0))</f>
        <v>364.48181283647199</v>
      </c>
      <c r="X13">
        <f>W13*(1+$AC13/Keys!$C$7^ROUNDUP((X$8-Keys!$C$6)/Keys!$C$8,0))</f>
        <v>364.56064552940558</v>
      </c>
      <c r="Y13">
        <f>X13*(1+$AC13/Keys!$C$7^ROUNDUP((Y$8-Keys!$C$6)/Keys!$C$8,0))</f>
        <v>364.63949527282909</v>
      </c>
      <c r="Z13">
        <f>Y13*(1+$AC13/Keys!$C$7^ROUNDUP((Z$8-Keys!$C$6)/Keys!$C$8,0))</f>
        <v>364.71836207043032</v>
      </c>
      <c r="AA13">
        <f>Z13*(1+$AC13/Keys!$C$7^ROUNDUP((AA$8-Keys!$C$6)/Keys!$C$8,0))</f>
        <v>364.79724592589787</v>
      </c>
      <c r="AB13">
        <f>AA13*(1+$AC13/Keys!$C$7^ROUNDUP((AB$8-Keys!$C$6)/Keys!$C$8,0))</f>
        <v>364.87614684292112</v>
      </c>
      <c r="AC13">
        <f>IFERROR((EPRI_PI2026!$H$7/EPRI_PI2026!$F$7)^(1/6)-1,0)</f>
        <v>5.5369482592130259E-2</v>
      </c>
    </row>
    <row r="14" spans="1:29" x14ac:dyDescent="0.45">
      <c r="A14" t="s">
        <v>18</v>
      </c>
      <c r="B14">
        <f>IFERROR(EPRI_PI2026!$F$8,0)</f>
        <v>29</v>
      </c>
      <c r="C14">
        <f t="shared" si="0"/>
        <v>38.629358908893664</v>
      </c>
      <c r="D14">
        <f t="shared" si="0"/>
        <v>51.456116196969738</v>
      </c>
      <c r="E14">
        <f t="shared" si="0"/>
        <v>68.541957952775192</v>
      </c>
      <c r="F14">
        <f t="shared" si="0"/>
        <v>91.301099795725904</v>
      </c>
      <c r="G14">
        <f t="shared" si="0"/>
        <v>121.61734319951083</v>
      </c>
      <c r="H14">
        <f t="shared" si="0"/>
        <v>162.00000000000006</v>
      </c>
      <c r="I14">
        <f>H14*(1+$AC14/Keys!$C$7^ROUNDUP((I$8-Keys!$C$6)/Keys!$C$8,0))</f>
        <v>175.44789778655846</v>
      </c>
      <c r="J14">
        <f>I14*(1+$AC14/Keys!$C$7^ROUNDUP((J$8-Keys!$C$6)/Keys!$C$8,0))</f>
        <v>190.0121286279176</v>
      </c>
      <c r="K14">
        <f>J14*(1+$AC14/Keys!$C$7^ROUNDUP((K$8-Keys!$C$6)/Keys!$C$8,0))</f>
        <v>205.78536124516836</v>
      </c>
      <c r="L14">
        <f>K14*(1+$AC14/Keys!$C$7^ROUNDUP((L$8-Keys!$C$6)/Keys!$C$8,0))</f>
        <v>222.86795694884131</v>
      </c>
      <c r="M14">
        <f>L14*(1+$AC14/Keys!$C$7^ROUNDUP((M$8-Keys!$C$6)/Keys!$C$8,0))</f>
        <v>241.36860821394694</v>
      </c>
      <c r="N14">
        <f>M14*(1+$AC14/Keys!$C$7^ROUNDUP((N$8-Keys!$C$6)/Keys!$C$8,0))</f>
        <v>246.37771372651639</v>
      </c>
      <c r="O14">
        <f>N14*(1+$AC14/Keys!$C$7^ROUNDUP((O$8-Keys!$C$6)/Keys!$C$8,0))</f>
        <v>251.49077284855363</v>
      </c>
      <c r="P14">
        <f>O14*(1+$AC14/Keys!$C$7^ROUNDUP((P$8-Keys!$C$6)/Keys!$C$8,0))</f>
        <v>256.70994292190227</v>
      </c>
      <c r="Q14">
        <f>P14*(1+$AC14/Keys!$C$7^ROUNDUP((Q$8-Keys!$C$6)/Keys!$C$8,0))</f>
        <v>262.03742605956734</v>
      </c>
      <c r="R14">
        <f>Q14*(1+$AC14/Keys!$C$7^ROUNDUP((R$8-Keys!$C$6)/Keys!$C$8,0))</f>
        <v>267.47547007484803</v>
      </c>
      <c r="S14">
        <f>R14*(1+$AC14/Keys!$C$7^ROUNDUP((S$8-Keys!$C$6)/Keys!$C$8,0))</f>
        <v>268.8631949135742</v>
      </c>
      <c r="T14">
        <f>S14*(1+$AC14/Keys!$C$7^ROUNDUP((T$8-Keys!$C$6)/Keys!$C$8,0))</f>
        <v>270.25811959095279</v>
      </c>
      <c r="U14">
        <f>T14*(1+$AC14/Keys!$C$7^ROUNDUP((U$8-Keys!$C$6)/Keys!$C$8,0))</f>
        <v>271.66028146141832</v>
      </c>
      <c r="V14">
        <f>U14*(1+$AC14/Keys!$C$7^ROUNDUP((V$8-Keys!$C$6)/Keys!$C$8,0))</f>
        <v>273.06971807320878</v>
      </c>
      <c r="W14">
        <f>V14*(1+$AC14/Keys!$C$7^ROUNDUP((W$8-Keys!$C$6)/Keys!$C$8,0))</f>
        <v>274.48646716937117</v>
      </c>
      <c r="X14">
        <f>W14*(1+$AC14/Keys!$C$7^ROUNDUP((X$8-Keys!$C$6)/Keys!$C$8,0))</f>
        <v>274.84249204922139</v>
      </c>
      <c r="Y14">
        <f>X14*(1+$AC14/Keys!$C$7^ROUNDUP((Y$8-Keys!$C$6)/Keys!$C$8,0))</f>
        <v>275.19897871400542</v>
      </c>
      <c r="Z14">
        <f>Y14*(1+$AC14/Keys!$C$7^ROUNDUP((Z$8-Keys!$C$6)/Keys!$C$8,0))</f>
        <v>275.55592776268509</v>
      </c>
      <c r="AA14">
        <f>Z14*(1+$AC14/Keys!$C$7^ROUNDUP((AA$8-Keys!$C$6)/Keys!$C$8,0))</f>
        <v>275.91333979499922</v>
      </c>
      <c r="AB14">
        <f>AA14*(1+$AC14/Keys!$C$7^ROUNDUP((AB$8-Keys!$C$6)/Keys!$C$8,0))</f>
        <v>276.27121541146437</v>
      </c>
      <c r="AC14">
        <f>IFERROR((EPRI_PI2026!$H$8/EPRI_PI2026!$F$8)^(1/6)-1,0)</f>
        <v>0.33204685892736774</v>
      </c>
    </row>
    <row r="15" spans="1:29" x14ac:dyDescent="0.45">
      <c r="A15" t="s">
        <v>20</v>
      </c>
      <c r="B15">
        <f>IFERROR(EPRI_PI2026!$F$9,0)</f>
        <v>14</v>
      </c>
      <c r="C15">
        <f t="shared" si="0"/>
        <v>13.236506067649698</v>
      </c>
      <c r="D15">
        <f t="shared" si="0"/>
        <v>12.514649491351948</v>
      </c>
      <c r="E15">
        <f t="shared" si="0"/>
        <v>11.832159566199234</v>
      </c>
      <c r="F15">
        <f t="shared" si="0"/>
        <v>11.186889420813969</v>
      </c>
      <c r="G15">
        <f t="shared" si="0"/>
        <v>10.576809264052166</v>
      </c>
      <c r="H15">
        <f t="shared" si="0"/>
        <v>10.000000000000002</v>
      </c>
      <c r="I15">
        <f>H15*(1+$AC15/Keys!$C$7^ROUNDUP((I$8-Keys!$C$6)/Keys!$C$8,0))</f>
        <v>9.8636617977945917</v>
      </c>
      <c r="J15">
        <f>I15*(1+$AC15/Keys!$C$7^ROUNDUP((J$8-Keys!$C$6)/Keys!$C$8,0))</f>
        <v>9.7291824061272418</v>
      </c>
      <c r="K15">
        <f>J15*(1+$AC15/Keys!$C$7^ROUNDUP((K$8-Keys!$C$6)/Keys!$C$8,0))</f>
        <v>9.5965364823092525</v>
      </c>
      <c r="L15">
        <f>K15*(1+$AC15/Keys!$C$7^ROUNDUP((L$8-Keys!$C$6)/Keys!$C$8,0))</f>
        <v>9.4656990291695848</v>
      </c>
      <c r="M15">
        <f>L15*(1+$AC15/Keys!$C$7^ROUNDUP((M$8-Keys!$C$6)/Keys!$C$8,0))</f>
        <v>9.3366453903441364</v>
      </c>
      <c r="N15">
        <f>M15*(1+$AC15/Keys!$C$7^ROUNDUP((N$8-Keys!$C$6)/Keys!$C$8,0))</f>
        <v>9.3048218541654126</v>
      </c>
      <c r="O15">
        <f>N15*(1+$AC15/Keys!$C$7^ROUNDUP((O$8-Keys!$C$6)/Keys!$C$8,0))</f>
        <v>9.273106787079449</v>
      </c>
      <c r="P15">
        <f>O15*(1+$AC15/Keys!$C$7^ROUNDUP((P$8-Keys!$C$6)/Keys!$C$8,0))</f>
        <v>9.2414998193742193</v>
      </c>
      <c r="Q15">
        <f>P15*(1+$AC15/Keys!$C$7^ROUNDUP((Q$8-Keys!$C$6)/Keys!$C$8,0))</f>
        <v>9.210000582597841</v>
      </c>
      <c r="R15">
        <f>Q15*(1+$AC15/Keys!$C$7^ROUNDUP((R$8-Keys!$C$6)/Keys!$C$8,0))</f>
        <v>9.1786087095542861</v>
      </c>
      <c r="S15">
        <f>R15*(1+$AC15/Keys!$C$7^ROUNDUP((S$8-Keys!$C$6)/Keys!$C$8,0))</f>
        <v>9.1707874907404889</v>
      </c>
      <c r="T15">
        <f>S15*(1+$AC15/Keys!$C$7^ROUNDUP((T$8-Keys!$C$6)/Keys!$C$8,0))</f>
        <v>9.1629729364948922</v>
      </c>
      <c r="U15">
        <f>T15*(1+$AC15/Keys!$C$7^ROUNDUP((U$8-Keys!$C$6)/Keys!$C$8,0))</f>
        <v>9.1551650411385257</v>
      </c>
      <c r="V15">
        <f>U15*(1+$AC15/Keys!$C$7^ROUNDUP((V$8-Keys!$C$6)/Keys!$C$8,0))</f>
        <v>9.1473637989972598</v>
      </c>
      <c r="W15">
        <f>V15*(1+$AC15/Keys!$C$7^ROUNDUP((W$8-Keys!$C$6)/Keys!$C$8,0))</f>
        <v>9.1395692044017967</v>
      </c>
      <c r="X15">
        <f>W15*(1+$AC15/Keys!$C$7^ROUNDUP((X$8-Keys!$C$6)/Keys!$C$8,0))</f>
        <v>9.1376222162232654</v>
      </c>
      <c r="Y15">
        <f>X15*(1+$AC15/Keys!$C$7^ROUNDUP((Y$8-Keys!$C$6)/Keys!$C$8,0))</f>
        <v>9.1356756428085895</v>
      </c>
      <c r="Z15">
        <f>Y15*(1+$AC15/Keys!$C$7^ROUNDUP((Z$8-Keys!$C$6)/Keys!$C$8,0))</f>
        <v>9.1337294840694145</v>
      </c>
      <c r="AA15">
        <f>Z15*(1+$AC15/Keys!$C$7^ROUNDUP((AA$8-Keys!$C$6)/Keys!$C$8,0))</f>
        <v>9.1317837399174007</v>
      </c>
      <c r="AB15">
        <f>AA15*(1+$AC15/Keys!$C$7^ROUNDUP((AB$8-Keys!$C$6)/Keys!$C$8,0))</f>
        <v>9.1298384102642309</v>
      </c>
      <c r="AC15">
        <f>IFERROR((EPRI_PI2026!$H$9/EPRI_PI2026!$F$9)^(1/6)-1,0)</f>
        <v>-5.4535280882164416E-2</v>
      </c>
    </row>
    <row r="16" spans="1:29" x14ac:dyDescent="0.45">
      <c r="A16" t="s">
        <v>23</v>
      </c>
      <c r="B16">
        <f>IFERROR(EPRI_PI2026!$F$10,0)</f>
        <v>188</v>
      </c>
      <c r="C16">
        <f t="shared" si="0"/>
        <v>207.71565306673685</v>
      </c>
      <c r="D16">
        <f t="shared" si="0"/>
        <v>229.49889643053717</v>
      </c>
      <c r="E16">
        <f t="shared" si="0"/>
        <v>253.56655930938527</v>
      </c>
      <c r="F16">
        <f t="shared" si="0"/>
        <v>280.15820990869378</v>
      </c>
      <c r="G16">
        <f t="shared" si="0"/>
        <v>309.53854007017168</v>
      </c>
      <c r="H16">
        <f t="shared" si="0"/>
        <v>342</v>
      </c>
      <c r="I16">
        <f>H16*(1+$AC16/Keys!$C$7^ROUNDUP((I$8-Keys!$C$6)/Keys!$C$8,0))</f>
        <v>350.96642732556387</v>
      </c>
      <c r="J16">
        <f>I16*(1+$AC16/Keys!$C$7^ROUNDUP((J$8-Keys!$C$6)/Keys!$C$8,0))</f>
        <v>360.16793306921141</v>
      </c>
      <c r="K16">
        <f>J16*(1+$AC16/Keys!$C$7^ROUNDUP((K$8-Keys!$C$6)/Keys!$C$8,0))</f>
        <v>369.61068042846182</v>
      </c>
      <c r="L16">
        <f>K16*(1+$AC16/Keys!$C$7^ROUNDUP((L$8-Keys!$C$6)/Keys!$C$8,0))</f>
        <v>379.30099418522792</v>
      </c>
      <c r="M16">
        <f>L16*(1+$AC16/Keys!$C$7^ROUNDUP((M$8-Keys!$C$6)/Keys!$C$8,0))</f>
        <v>389.24536494217517</v>
      </c>
      <c r="N16">
        <f>M16*(1+$AC16/Keys!$C$7^ROUNDUP((N$8-Keys!$C$6)/Keys!$C$8,0))</f>
        <v>391.79663707416825</v>
      </c>
      <c r="O16">
        <f>N16*(1+$AC16/Keys!$C$7^ROUNDUP((O$8-Keys!$C$6)/Keys!$C$8,0))</f>
        <v>394.36463127937714</v>
      </c>
      <c r="P16">
        <f>O16*(1+$AC16/Keys!$C$7^ROUNDUP((P$8-Keys!$C$6)/Keys!$C$8,0))</f>
        <v>396.94945716105786</v>
      </c>
      <c r="Q16">
        <f>P16*(1+$AC16/Keys!$C$7^ROUNDUP((Q$8-Keys!$C$6)/Keys!$C$8,0))</f>
        <v>399.55122504085068</v>
      </c>
      <c r="R16">
        <f>Q16*(1+$AC16/Keys!$C$7^ROUNDUP((R$8-Keys!$C$6)/Keys!$C$8,0))</f>
        <v>402.17004596348863</v>
      </c>
      <c r="S16">
        <f>R16*(1+$AC16/Keys!$C$7^ROUNDUP((S$8-Keys!$C$6)/Keys!$C$8,0))</f>
        <v>402.82904239800081</v>
      </c>
      <c r="T16">
        <f>S16*(1+$AC16/Keys!$C$7^ROUNDUP((T$8-Keys!$C$6)/Keys!$C$8,0))</f>
        <v>403.48911866504909</v>
      </c>
      <c r="U16">
        <f>T16*(1+$AC16/Keys!$C$7^ROUNDUP((U$8-Keys!$C$6)/Keys!$C$8,0))</f>
        <v>404.15027653404877</v>
      </c>
      <c r="V16">
        <f>U16*(1+$AC16/Keys!$C$7^ROUNDUP((V$8-Keys!$C$6)/Keys!$C$8,0))</f>
        <v>404.81251777731433</v>
      </c>
      <c r="W16">
        <f>V16*(1+$AC16/Keys!$C$7^ROUNDUP((W$8-Keys!$C$6)/Keys!$C$8,0))</f>
        <v>405.47584417006453</v>
      </c>
      <c r="X16">
        <f>W16*(1+$AC16/Keys!$C$7^ROUNDUP((X$8-Keys!$C$6)/Keys!$C$8,0))</f>
        <v>405.64194750015508</v>
      </c>
      <c r="Y16">
        <f>X16*(1+$AC16/Keys!$C$7^ROUNDUP((Y$8-Keys!$C$6)/Keys!$C$8,0))</f>
        <v>405.80811887453643</v>
      </c>
      <c r="Z16">
        <f>Y16*(1+$AC16/Keys!$C$7^ROUNDUP((Z$8-Keys!$C$6)/Keys!$C$8,0))</f>
        <v>405.974358321083</v>
      </c>
      <c r="AA16">
        <f>Z16*(1+$AC16/Keys!$C$7^ROUNDUP((AA$8-Keys!$C$6)/Keys!$C$8,0))</f>
        <v>406.14066586768058</v>
      </c>
      <c r="AB16">
        <f>AA16*(1+$AC16/Keys!$C$7^ROUNDUP((AB$8-Keys!$C$6)/Keys!$C$8,0))</f>
        <v>406.30704154222633</v>
      </c>
      <c r="AC16">
        <f>IFERROR((EPRI_PI2026!$H$10/EPRI_PI2026!$F$10)^(1/6)-1,0)</f>
        <v>0.10487049503583434</v>
      </c>
    </row>
    <row r="17" spans="1:29" x14ac:dyDescent="0.45">
      <c r="A17" t="s">
        <v>27</v>
      </c>
      <c r="B17">
        <f>IFERROR(EPRI_PI2026!$F$11,0)</f>
        <v>1774</v>
      </c>
      <c r="C17">
        <f t="shared" si="0"/>
        <v>1937.8428471141513</v>
      </c>
      <c r="D17">
        <f t="shared" si="0"/>
        <v>2116.8178692849378</v>
      </c>
      <c r="E17">
        <f t="shared" si="0"/>
        <v>2312.3226418473705</v>
      </c>
      <c r="F17">
        <f t="shared" si="0"/>
        <v>2525.883817206327</v>
      </c>
      <c r="G17">
        <f t="shared" si="0"/>
        <v>2759.1690461187536</v>
      </c>
      <c r="H17">
        <f t="shared" si="0"/>
        <v>3014.0000000000014</v>
      </c>
      <c r="I17">
        <f>H17*(1+$AC17/Keys!$C$7^ROUNDUP((I$8-Keys!$C$6)/Keys!$C$8,0))</f>
        <v>3083.591648985634</v>
      </c>
      <c r="J17">
        <f>I17*(1+$AC17/Keys!$C$7^ROUNDUP((J$8-Keys!$C$6)/Keys!$C$8,0))</f>
        <v>3154.7901319488842</v>
      </c>
      <c r="K17">
        <f>J17*(1+$AC17/Keys!$C$7^ROUNDUP((K$8-Keys!$C$6)/Keys!$C$8,0))</f>
        <v>3227.6325498274259</v>
      </c>
      <c r="L17">
        <f>K17*(1+$AC17/Keys!$C$7^ROUNDUP((L$8-Keys!$C$6)/Keys!$C$8,0))</f>
        <v>3302.1568601997528</v>
      </c>
      <c r="M17">
        <f>L17*(1+$AC17/Keys!$C$7^ROUNDUP((M$8-Keys!$C$6)/Keys!$C$8,0))</f>
        <v>3378.401897064557</v>
      </c>
      <c r="N17">
        <f>M17*(1+$AC17/Keys!$C$7^ROUNDUP((N$8-Keys!$C$6)/Keys!$C$8,0))</f>
        <v>3397.9032705676191</v>
      </c>
      <c r="O17">
        <f>N17*(1+$AC17/Keys!$C$7^ROUNDUP((O$8-Keys!$C$6)/Keys!$C$8,0))</f>
        <v>3417.517213143306</v>
      </c>
      <c r="P17">
        <f>O17*(1+$AC17/Keys!$C$7^ROUNDUP((P$8-Keys!$C$6)/Keys!$C$8,0))</f>
        <v>3437.2443745815467</v>
      </c>
      <c r="Q17">
        <f>P17*(1+$AC17/Keys!$C$7^ROUNDUP((Q$8-Keys!$C$6)/Keys!$C$8,0))</f>
        <v>3457.0854084230964</v>
      </c>
      <c r="R17">
        <f>Q17*(1+$AC17/Keys!$C$7^ROUNDUP((R$8-Keys!$C$6)/Keys!$C$8,0))</f>
        <v>3477.0409719811869</v>
      </c>
      <c r="S17">
        <f>R17*(1+$AC17/Keys!$C$7^ROUNDUP((S$8-Keys!$C$6)/Keys!$C$8,0))</f>
        <v>3482.0586605767157</v>
      </c>
      <c r="T17">
        <f>S17*(1+$AC17/Keys!$C$7^ROUNDUP((T$8-Keys!$C$6)/Keys!$C$8,0))</f>
        <v>3487.0835901564737</v>
      </c>
      <c r="U17">
        <f>T17*(1+$AC17/Keys!$C$7^ROUNDUP((U$8-Keys!$C$6)/Keys!$C$8,0))</f>
        <v>3492.1157711698643</v>
      </c>
      <c r="V17">
        <f>U17*(1+$AC17/Keys!$C$7^ROUNDUP((V$8-Keys!$C$6)/Keys!$C$8,0))</f>
        <v>3497.1552140813701</v>
      </c>
      <c r="W17">
        <f>V17*(1+$AC17/Keys!$C$7^ROUNDUP((W$8-Keys!$C$6)/Keys!$C$8,0))</f>
        <v>3502.2019293705753</v>
      </c>
      <c r="X17">
        <f>W17*(1+$AC17/Keys!$C$7^ROUNDUP((X$8-Keys!$C$6)/Keys!$C$8,0))</f>
        <v>3503.4654289109781</v>
      </c>
      <c r="Y17">
        <f>X17*(1+$AC17/Keys!$C$7^ROUNDUP((Y$8-Keys!$C$6)/Keys!$C$8,0))</f>
        <v>3504.7293842877721</v>
      </c>
      <c r="Z17">
        <f>Y17*(1+$AC17/Keys!$C$7^ROUNDUP((Z$8-Keys!$C$6)/Keys!$C$8,0))</f>
        <v>3505.9937956654107</v>
      </c>
      <c r="AA17">
        <f>Z17*(1+$AC17/Keys!$C$7^ROUNDUP((AA$8-Keys!$C$6)/Keys!$C$8,0))</f>
        <v>3507.2586632084067</v>
      </c>
      <c r="AB17">
        <f>AA17*(1+$AC17/Keys!$C$7^ROUNDUP((AB$8-Keys!$C$6)/Keys!$C$8,0))</f>
        <v>3508.5239870813321</v>
      </c>
      <c r="AC17">
        <f>IFERROR((EPRI_PI2026!$H$11/EPRI_PI2026!$F$11)^(1/6)-1,0)</f>
        <v>9.235786195837159E-2</v>
      </c>
    </row>
    <row r="18" spans="1:29" x14ac:dyDescent="0.45">
      <c r="A18" t="s">
        <v>30</v>
      </c>
      <c r="B18">
        <f>IFERROR(EPRI_PI2026!$F$13,0)</f>
        <v>89</v>
      </c>
      <c r="C18">
        <f t="shared" si="0"/>
        <v>108.36557469361081</v>
      </c>
      <c r="D18">
        <f t="shared" si="0"/>
        <v>131.94491886153421</v>
      </c>
      <c r="E18">
        <f t="shared" si="0"/>
        <v>160.65490966665172</v>
      </c>
      <c r="F18">
        <f t="shared" si="0"/>
        <v>195.61192824018926</v>
      </c>
      <c r="G18">
        <f t="shared" si="0"/>
        <v>238.17526989520749</v>
      </c>
      <c r="H18">
        <f t="shared" si="0"/>
        <v>290.00000000000023</v>
      </c>
      <c r="I18">
        <f>H18*(1+$AC18/Keys!$C$7^ROUNDUP((I$8-Keys!$C$6)/Keys!$C$8,0))</f>
        <v>305.77532769985174</v>
      </c>
      <c r="J18">
        <f>I18*(1+$AC18/Keys!$C$7^ROUNDUP((J$8-Keys!$C$6)/Keys!$C$8,0))</f>
        <v>322.40879665500563</v>
      </c>
      <c r="K18">
        <f>J18*(1+$AC18/Keys!$C$7^ROUNDUP((K$8-Keys!$C$6)/Keys!$C$8,0))</f>
        <v>339.94708776034184</v>
      </c>
      <c r="L18">
        <f>K18*(1+$AC18/Keys!$C$7^ROUNDUP((L$8-Keys!$C$6)/Keys!$C$8,0))</f>
        <v>358.43942124320239</v>
      </c>
      <c r="M18">
        <f>L18*(1+$AC18/Keys!$C$7^ROUNDUP((M$8-Keys!$C$6)/Keys!$C$8,0))</f>
        <v>377.93769479719077</v>
      </c>
      <c r="N18">
        <f>M18*(1+$AC18/Keys!$C$7^ROUNDUP((N$8-Keys!$C$6)/Keys!$C$8,0))</f>
        <v>383.07742840542539</v>
      </c>
      <c r="O18">
        <f>N18*(1+$AC18/Keys!$C$7^ROUNDUP((O$8-Keys!$C$6)/Keys!$C$8,0))</f>
        <v>388.28705941190123</v>
      </c>
      <c r="P18">
        <f>O18*(1+$AC18/Keys!$C$7^ROUNDUP((P$8-Keys!$C$6)/Keys!$C$8,0))</f>
        <v>393.56753838072405</v>
      </c>
      <c r="Q18">
        <f>P18*(1+$AC18/Keys!$C$7^ROUNDUP((Q$8-Keys!$C$6)/Keys!$C$8,0))</f>
        <v>398.91982880312042</v>
      </c>
      <c r="R18">
        <f>Q18*(1+$AC18/Keys!$C$7^ROUNDUP((R$8-Keys!$C$6)/Keys!$C$8,0))</f>
        <v>404.3449072732393</v>
      </c>
      <c r="S18">
        <f>R18*(1+$AC18/Keys!$C$7^ROUNDUP((S$8-Keys!$C$6)/Keys!$C$8,0))</f>
        <v>405.71962137151547</v>
      </c>
      <c r="T18">
        <f>S18*(1+$AC18/Keys!$C$7^ROUNDUP((T$8-Keys!$C$6)/Keys!$C$8,0))</f>
        <v>407.0990092985403</v>
      </c>
      <c r="U18">
        <f>T18*(1+$AC18/Keys!$C$7^ROUNDUP((U$8-Keys!$C$6)/Keys!$C$8,0))</f>
        <v>408.48308694465436</v>
      </c>
      <c r="V18">
        <f>U18*(1+$AC18/Keys!$C$7^ROUNDUP((V$8-Keys!$C$6)/Keys!$C$8,0))</f>
        <v>409.87187025422304</v>
      </c>
      <c r="W18">
        <f>V18*(1+$AC18/Keys!$C$7^ROUNDUP((W$8-Keys!$C$6)/Keys!$C$8,0))</f>
        <v>411.26537522582032</v>
      </c>
      <c r="X18">
        <f>W18*(1+$AC18/Keys!$C$7^ROUNDUP((X$8-Keys!$C$6)/Keys!$C$8,0))</f>
        <v>411.61493589746851</v>
      </c>
      <c r="Y18">
        <f>X18*(1+$AC18/Keys!$C$7^ROUNDUP((Y$8-Keys!$C$6)/Keys!$C$8,0))</f>
        <v>411.96479368302545</v>
      </c>
      <c r="Z18">
        <f>Y18*(1+$AC18/Keys!$C$7^ROUNDUP((Z$8-Keys!$C$6)/Keys!$C$8,0))</f>
        <v>412.31494883502717</v>
      </c>
      <c r="AA18">
        <f>Z18*(1+$AC18/Keys!$C$7^ROUNDUP((AA$8-Keys!$C$6)/Keys!$C$8,0))</f>
        <v>412.66540160622441</v>
      </c>
      <c r="AB18">
        <f>AA18*(1+$AC18/Keys!$C$7^ROUNDUP((AB$8-Keys!$C$6)/Keys!$C$8,0))</f>
        <v>413.01615224958266</v>
      </c>
      <c r="AC18">
        <f>IFERROR((EPRI_PI2026!$H$13/EPRI_PI2026!$F$13)^(1/6)-1,0)</f>
        <v>0.21759072689450343</v>
      </c>
    </row>
    <row r="19" spans="1:29" x14ac:dyDescent="0.45">
      <c r="A19" t="s">
        <v>34</v>
      </c>
      <c r="B19">
        <f>IFERROR(EPRI_PI2026!$F$14,0)</f>
        <v>1602</v>
      </c>
      <c r="C19">
        <f t="shared" ref="C19:H28" si="1">B19*(1+$AC19)</f>
        <v>1632.9646097631662</v>
      </c>
      <c r="D19">
        <f t="shared" si="1"/>
        <v>1664.5277258046003</v>
      </c>
      <c r="E19">
        <f t="shared" si="1"/>
        <v>1696.7009164846938</v>
      </c>
      <c r="F19">
        <f t="shared" si="1"/>
        <v>1729.4959737654397</v>
      </c>
      <c r="G19">
        <f t="shared" si="1"/>
        <v>1762.9249175323648</v>
      </c>
      <c r="H19">
        <f t="shared" si="1"/>
        <v>1797</v>
      </c>
      <c r="I19">
        <f>H19*(1+$AC19/Keys!$C$7^ROUNDUP((I$8-Keys!$C$6)/Keys!$C$8,0))</f>
        <v>1805.6834275506255</v>
      </c>
      <c r="J19">
        <f>I19*(1+$AC19/Keys!$C$7^ROUNDUP((J$8-Keys!$C$6)/Keys!$C$8,0))</f>
        <v>1814.4088149866307</v>
      </c>
      <c r="K19">
        <f>J19*(1+$AC19/Keys!$C$7^ROUNDUP((K$8-Keys!$C$6)/Keys!$C$8,0))</f>
        <v>1823.1763650657363</v>
      </c>
      <c r="L19">
        <f>K19*(1+$AC19/Keys!$C$7^ROUNDUP((L$8-Keys!$C$6)/Keys!$C$8,0))</f>
        <v>1831.9862815254253</v>
      </c>
      <c r="M19">
        <f>L19*(1+$AC19/Keys!$C$7^ROUNDUP((M$8-Keys!$C$6)/Keys!$C$8,0))</f>
        <v>1840.8387690876768</v>
      </c>
      <c r="N19">
        <f>M19*(1+$AC19/Keys!$C$7^ROUNDUP((N$8-Keys!$C$6)/Keys!$C$8,0))</f>
        <v>1843.0625851816885</v>
      </c>
      <c r="O19">
        <f>N19*(1+$AC19/Keys!$C$7^ROUNDUP((O$8-Keys!$C$6)/Keys!$C$8,0))</f>
        <v>1845.2890877456416</v>
      </c>
      <c r="P19">
        <f>O19*(1+$AC19/Keys!$C$7^ROUNDUP((P$8-Keys!$C$6)/Keys!$C$8,0))</f>
        <v>1847.5182800249127</v>
      </c>
      <c r="Q19">
        <f>P19*(1+$AC19/Keys!$C$7^ROUNDUP((Q$8-Keys!$C$6)/Keys!$C$8,0))</f>
        <v>1849.7501652687988</v>
      </c>
      <c r="R19">
        <f>Q19*(1+$AC19/Keys!$C$7^ROUNDUP((R$8-Keys!$C$6)/Keys!$C$8,0))</f>
        <v>1851.9847467305226</v>
      </c>
      <c r="S19">
        <f>R19*(1+$AC19/Keys!$C$7^ROUNDUP((S$8-Keys!$C$6)/Keys!$C$8,0))</f>
        <v>1852.544066964701</v>
      </c>
      <c r="T19">
        <f>S19*(1+$AC19/Keys!$C$7^ROUNDUP((T$8-Keys!$C$6)/Keys!$C$8,0))</f>
        <v>1853.1035561198842</v>
      </c>
      <c r="U19">
        <f>T19*(1+$AC19/Keys!$C$7^ROUNDUP((U$8-Keys!$C$6)/Keys!$C$8,0))</f>
        <v>1853.6632142470883</v>
      </c>
      <c r="V19">
        <f>U19*(1+$AC19/Keys!$C$7^ROUNDUP((V$8-Keys!$C$6)/Keys!$C$8,0))</f>
        <v>1854.2230413973448</v>
      </c>
      <c r="W19">
        <f>V19*(1+$AC19/Keys!$C$7^ROUNDUP((W$8-Keys!$C$6)/Keys!$C$8,0))</f>
        <v>1854.7830376217005</v>
      </c>
      <c r="X19">
        <f>W19*(1+$AC19/Keys!$C$7^ROUNDUP((X$8-Keys!$C$6)/Keys!$C$8,0))</f>
        <v>1854.9230789590797</v>
      </c>
      <c r="Y19">
        <f>X19*(1+$AC19/Keys!$C$7^ROUNDUP((Y$8-Keys!$C$6)/Keys!$C$8,0))</f>
        <v>1855.0631308699737</v>
      </c>
      <c r="Z19">
        <f>Y19*(1+$AC19/Keys!$C$7^ROUNDUP((Z$8-Keys!$C$6)/Keys!$C$8,0))</f>
        <v>1855.2031933551812</v>
      </c>
      <c r="AA19">
        <f>Z19*(1+$AC19/Keys!$C$7^ROUNDUP((AA$8-Keys!$C$6)/Keys!$C$8,0))</f>
        <v>1855.3432664155002</v>
      </c>
      <c r="AB19">
        <f>AA19*(1+$AC19/Keys!$C$7^ROUNDUP((AB$8-Keys!$C$6)/Keys!$C$8,0))</f>
        <v>1855.4833500517295</v>
      </c>
      <c r="AC19">
        <f>IFERROR((EPRI_PI2026!$H$14/EPRI_PI2026!$F$14)^(1/6)-1,0)</f>
        <v>1.9328720201726712E-2</v>
      </c>
    </row>
    <row r="20" spans="1:29" x14ac:dyDescent="0.45">
      <c r="A20" t="s">
        <v>38</v>
      </c>
      <c r="B20">
        <f>IFERROR(EPRI_PI2026!$F$15,0)</f>
        <v>292</v>
      </c>
      <c r="C20">
        <f t="shared" si="1"/>
        <v>405.00600056226494</v>
      </c>
      <c r="D20">
        <f t="shared" si="1"/>
        <v>561.74609757342921</v>
      </c>
      <c r="E20">
        <f t="shared" si="1"/>
        <v>779.14568599203562</v>
      </c>
      <c r="F20">
        <f t="shared" si="1"/>
        <v>1080.6804045855365</v>
      </c>
      <c r="G20">
        <f t="shared" si="1"/>
        <v>1498.9111251616387</v>
      </c>
      <c r="H20">
        <f t="shared" si="1"/>
        <v>2078.9999999999991</v>
      </c>
      <c r="I20">
        <f>H20*(1+$AC20/Keys!$C$7^ROUNDUP((I$8-Keys!$C$6)/Keys!$C$8,0))</f>
        <v>2280.1468109323182</v>
      </c>
      <c r="J20">
        <f>I20*(1+$AC20/Keys!$C$7^ROUNDUP((J$8-Keys!$C$6)/Keys!$C$8,0))</f>
        <v>2500.7549203486401</v>
      </c>
      <c r="K20">
        <f>J20*(1+$AC20/Keys!$C$7^ROUNDUP((K$8-Keys!$C$6)/Keys!$C$8,0))</f>
        <v>2742.7072422108017</v>
      </c>
      <c r="L20">
        <f>K20*(1+$AC20/Keys!$C$7^ROUNDUP((L$8-Keys!$C$6)/Keys!$C$8,0))</f>
        <v>3008.0688656315224</v>
      </c>
      <c r="M20">
        <f>L20*(1+$AC20/Keys!$C$7^ROUNDUP((M$8-Keys!$C$6)/Keys!$C$8,0))</f>
        <v>3299.104680632282</v>
      </c>
      <c r="N20">
        <f>M20*(1+$AC20/Keys!$C$7^ROUNDUP((N$8-Keys!$C$6)/Keys!$C$8,0))</f>
        <v>3378.903187780078</v>
      </c>
      <c r="O20">
        <f>N20*(1+$AC20/Keys!$C$7^ROUNDUP((O$8-Keys!$C$6)/Keys!$C$8,0))</f>
        <v>3460.6318554894351</v>
      </c>
      <c r="P20">
        <f>O20*(1+$AC20/Keys!$C$7^ROUNDUP((P$8-Keys!$C$6)/Keys!$C$8,0))</f>
        <v>3544.3373703454354</v>
      </c>
      <c r="Q20">
        <f>P20*(1+$AC20/Keys!$C$7^ROUNDUP((Q$8-Keys!$C$6)/Keys!$C$8,0))</f>
        <v>3630.0675481849289</v>
      </c>
      <c r="R20">
        <f>Q20*(1+$AC20/Keys!$C$7^ROUNDUP((R$8-Keys!$C$6)/Keys!$C$8,0))</f>
        <v>3717.8713614107951</v>
      </c>
      <c r="S20">
        <f>R20*(1+$AC20/Keys!$C$7^ROUNDUP((S$8-Keys!$C$6)/Keys!$C$8,0))</f>
        <v>3740.3532627998152</v>
      </c>
      <c r="T20">
        <f>S20*(1+$AC20/Keys!$C$7^ROUNDUP((T$8-Keys!$C$6)/Keys!$C$8,0))</f>
        <v>3762.9711118429991</v>
      </c>
      <c r="U20">
        <f>T20*(1+$AC20/Keys!$C$7^ROUNDUP((U$8-Keys!$C$6)/Keys!$C$8,0))</f>
        <v>3785.7257306133711</v>
      </c>
      <c r="V20">
        <f>U20*(1+$AC20/Keys!$C$7^ROUNDUP((V$8-Keys!$C$6)/Keys!$C$8,0))</f>
        <v>3808.6179461550164</v>
      </c>
      <c r="W20">
        <f>V20*(1+$AC20/Keys!$C$7^ROUNDUP((W$8-Keys!$C$6)/Keys!$C$8,0))</f>
        <v>3831.6485905131412</v>
      </c>
      <c r="X20">
        <f>W20*(1+$AC20/Keys!$C$7^ROUNDUP((X$8-Keys!$C$6)/Keys!$C$8,0))</f>
        <v>3837.4410680759347</v>
      </c>
      <c r="Y20">
        <f>X20*(1+$AC20/Keys!$C$7^ROUNDUP((Y$8-Keys!$C$6)/Keys!$C$8,0))</f>
        <v>3843.2423023906908</v>
      </c>
      <c r="Z20">
        <f>Y20*(1+$AC20/Keys!$C$7^ROUNDUP((Z$8-Keys!$C$6)/Keys!$C$8,0))</f>
        <v>3849.0523066953901</v>
      </c>
      <c r="AA20">
        <f>Z20*(1+$AC20/Keys!$C$7^ROUNDUP((AA$8-Keys!$C$6)/Keys!$C$8,0))</f>
        <v>3854.8710942480257</v>
      </c>
      <c r="AB20">
        <f>AA20*(1+$AC20/Keys!$C$7^ROUNDUP((AB$8-Keys!$C$6)/Keys!$C$8,0))</f>
        <v>3860.6986783266329</v>
      </c>
      <c r="AC20">
        <f>IFERROR((EPRI_PI2026!$H$15/EPRI_PI2026!$F$15)^(1/6)-1,0)</f>
        <v>0.38700685124063328</v>
      </c>
    </row>
    <row r="21" spans="1:29" x14ac:dyDescent="0.45">
      <c r="A21" t="s">
        <v>41</v>
      </c>
      <c r="B21">
        <f>IFERROR(EPRI_PI2026!$F$16,0)</f>
        <v>1698</v>
      </c>
      <c r="C21">
        <f t="shared" si="1"/>
        <v>1668.7706135985384</v>
      </c>
      <c r="D21">
        <f t="shared" si="1"/>
        <v>1640.0443821024983</v>
      </c>
      <c r="E21">
        <f t="shared" si="1"/>
        <v>1611.8126441990705</v>
      </c>
      <c r="F21">
        <f t="shared" si="1"/>
        <v>1584.0668876713578</v>
      </c>
      <c r="G21">
        <f t="shared" si="1"/>
        <v>1556.7987468318368</v>
      </c>
      <c r="H21">
        <f t="shared" si="1"/>
        <v>1529.9999999999998</v>
      </c>
      <c r="I21">
        <f>H21*(1+$AC21/Keys!$C$7^ROUNDUP((I$8-Keys!$C$6)/Keys!$C$8,0))</f>
        <v>1523.4156417558543</v>
      </c>
      <c r="J21">
        <f>I21*(1+$AC21/Keys!$C$7^ROUNDUP((J$8-Keys!$C$6)/Keys!$C$8,0))</f>
        <v>1516.8596193113735</v>
      </c>
      <c r="K21">
        <f>J21*(1+$AC21/Keys!$C$7^ROUNDUP((K$8-Keys!$C$6)/Keys!$C$8,0))</f>
        <v>1510.3318107233838</v>
      </c>
      <c r="L21">
        <f>K21*(1+$AC21/Keys!$C$7^ROUNDUP((L$8-Keys!$C$6)/Keys!$C$8,0))</f>
        <v>1503.8320945734938</v>
      </c>
      <c r="M21">
        <f>L21*(1+$AC21/Keys!$C$7^ROUNDUP((M$8-Keys!$C$6)/Keys!$C$8,0))</f>
        <v>1497.3603499658366</v>
      </c>
      <c r="N21">
        <f>M21*(1+$AC21/Keys!$C$7^ROUNDUP((N$8-Keys!$C$6)/Keys!$C$8,0))</f>
        <v>1495.7493766055827</v>
      </c>
      <c r="O21">
        <f>N21*(1+$AC21/Keys!$C$7^ROUNDUP((O$8-Keys!$C$6)/Keys!$C$8,0))</f>
        <v>1494.1401364521466</v>
      </c>
      <c r="P21">
        <f>O21*(1+$AC21/Keys!$C$7^ROUNDUP((P$8-Keys!$C$6)/Keys!$C$8,0))</f>
        <v>1492.5326276408136</v>
      </c>
      <c r="Q21">
        <f>P21*(1+$AC21/Keys!$C$7^ROUNDUP((Q$8-Keys!$C$6)/Keys!$C$8,0))</f>
        <v>1490.9268483088752</v>
      </c>
      <c r="R21">
        <f>Q21*(1+$AC21/Keys!$C$7^ROUNDUP((R$8-Keys!$C$6)/Keys!$C$8,0))</f>
        <v>1489.3227965956266</v>
      </c>
      <c r="S21">
        <f>R21*(1+$AC21/Keys!$C$7^ROUNDUP((S$8-Keys!$C$6)/Keys!$C$8,0))</f>
        <v>1488.9222151073113</v>
      </c>
      <c r="T21">
        <f>S21*(1+$AC21/Keys!$C$7^ROUNDUP((T$8-Keys!$C$6)/Keys!$C$8,0))</f>
        <v>1488.5217413629514</v>
      </c>
      <c r="U21">
        <f>T21*(1+$AC21/Keys!$C$7^ROUNDUP((U$8-Keys!$C$6)/Keys!$C$8,0))</f>
        <v>1488.1213753335669</v>
      </c>
      <c r="V21">
        <f>U21*(1+$AC21/Keys!$C$7^ROUNDUP((V$8-Keys!$C$6)/Keys!$C$8,0))</f>
        <v>1487.7211169901859</v>
      </c>
      <c r="W21">
        <f>V21*(1+$AC21/Keys!$C$7^ROUNDUP((W$8-Keys!$C$6)/Keys!$C$8,0))</f>
        <v>1487.3209663038442</v>
      </c>
      <c r="X21">
        <f>W21*(1+$AC21/Keys!$C$7^ROUNDUP((X$8-Keys!$C$6)/Keys!$C$8,0))</f>
        <v>1487.2209555392794</v>
      </c>
      <c r="Y21">
        <f>X21*(1+$AC21/Keys!$C$7^ROUNDUP((Y$8-Keys!$C$6)/Keys!$C$8,0))</f>
        <v>1487.1209514996606</v>
      </c>
      <c r="Z21">
        <f>Y21*(1+$AC21/Keys!$C$7^ROUNDUP((Z$8-Keys!$C$6)/Keys!$C$8,0))</f>
        <v>1487.0209541845354</v>
      </c>
      <c r="AA21">
        <f>Z21*(1+$AC21/Keys!$C$7^ROUNDUP((AA$8-Keys!$C$6)/Keys!$C$8,0))</f>
        <v>1486.9209635934519</v>
      </c>
      <c r="AB21">
        <f>AA21*(1+$AC21/Keys!$C$7^ROUNDUP((AB$8-Keys!$C$6)/Keys!$C$8,0))</f>
        <v>1486.8209797259576</v>
      </c>
      <c r="AC21">
        <f>IFERROR((EPRI_PI2026!$H$16/EPRI_PI2026!$F$16)^(1/6)-1,0)</f>
        <v>-1.721400848142618E-2</v>
      </c>
    </row>
    <row r="22" spans="1:29" x14ac:dyDescent="0.45">
      <c r="A22" t="s">
        <v>43</v>
      </c>
      <c r="B22">
        <f>IFERROR(EPRI_PI2026!$F$17,0)</f>
        <v>44</v>
      </c>
      <c r="C22">
        <f t="shared" si="1"/>
        <v>42.747512805670041</v>
      </c>
      <c r="D22">
        <f t="shared" si="1"/>
        <v>41.53067843343009</v>
      </c>
      <c r="E22">
        <f t="shared" si="1"/>
        <v>40.348482003664031</v>
      </c>
      <c r="F22">
        <f t="shared" si="1"/>
        <v>39.199937525931254</v>
      </c>
      <c r="G22">
        <f t="shared" si="1"/>
        <v>38.084087076618452</v>
      </c>
      <c r="H22">
        <f t="shared" si="1"/>
        <v>37</v>
      </c>
      <c r="I22">
        <f>H22*(1+$AC22/Keys!$C$7^ROUNDUP((I$8-Keys!$C$6)/Keys!$C$8,0))</f>
        <v>36.736693033010184</v>
      </c>
      <c r="J22">
        <f>I22*(1+$AC22/Keys!$C$7^ROUNDUP((J$8-Keys!$C$6)/Keys!$C$8,0))</f>
        <v>36.475259864908615</v>
      </c>
      <c r="K22">
        <f>J22*(1+$AC22/Keys!$C$7^ROUNDUP((K$8-Keys!$C$6)/Keys!$C$8,0))</f>
        <v>36.215687160984437</v>
      </c>
      <c r="L22">
        <f>K22*(1+$AC22/Keys!$C$7^ROUNDUP((L$8-Keys!$C$6)/Keys!$C$8,0))</f>
        <v>35.957961681421978</v>
      </c>
      <c r="M22">
        <f>L22*(1+$AC22/Keys!$C$7^ROUNDUP((M$8-Keys!$C$6)/Keys!$C$8,0))</f>
        <v>35.702070280625456</v>
      </c>
      <c r="N22">
        <f>M22*(1+$AC22/Keys!$C$7^ROUNDUP((N$8-Keys!$C$6)/Keys!$C$8,0))</f>
        <v>35.638552687106205</v>
      </c>
      <c r="O22">
        <f>N22*(1+$AC22/Keys!$C$7^ROUNDUP((O$8-Keys!$C$6)/Keys!$C$8,0))</f>
        <v>35.575148097809254</v>
      </c>
      <c r="P22">
        <f>O22*(1+$AC22/Keys!$C$7^ROUNDUP((P$8-Keys!$C$6)/Keys!$C$8,0))</f>
        <v>35.511856311688661</v>
      </c>
      <c r="Q22">
        <f>P22*(1+$AC22/Keys!$C$7^ROUNDUP((Q$8-Keys!$C$6)/Keys!$C$8,0))</f>
        <v>35.448677128056168</v>
      </c>
      <c r="R22">
        <f>Q22*(1+$AC22/Keys!$C$7^ROUNDUP((R$8-Keys!$C$6)/Keys!$C$8,0))</f>
        <v>35.385610346580563</v>
      </c>
      <c r="S22">
        <f>R22*(1+$AC22/Keys!$C$7^ROUNDUP((S$8-Keys!$C$6)/Keys!$C$8,0))</f>
        <v>35.369871701757184</v>
      </c>
      <c r="T22">
        <f>S22*(1+$AC22/Keys!$C$7^ROUNDUP((T$8-Keys!$C$6)/Keys!$C$8,0))</f>
        <v>35.354140057093993</v>
      </c>
      <c r="U22">
        <f>T22*(1+$AC22/Keys!$C$7^ROUNDUP((U$8-Keys!$C$6)/Keys!$C$8,0))</f>
        <v>35.338415409477491</v>
      </c>
      <c r="V22">
        <f>U22*(1+$AC22/Keys!$C$7^ROUNDUP((V$8-Keys!$C$6)/Keys!$C$8,0))</f>
        <v>35.322697755795573</v>
      </c>
      <c r="W22">
        <f>V22*(1+$AC22/Keys!$C$7^ROUNDUP((W$8-Keys!$C$6)/Keys!$C$8,0))</f>
        <v>35.306987092937504</v>
      </c>
      <c r="X22">
        <f>W22*(1+$AC22/Keys!$C$7^ROUNDUP((X$8-Keys!$C$6)/Keys!$C$8,0))</f>
        <v>35.303061174151615</v>
      </c>
      <c r="Y22">
        <f>X22*(1+$AC22/Keys!$C$7^ROUNDUP((Y$8-Keys!$C$6)/Keys!$C$8,0))</f>
        <v>35.299135691903629</v>
      </c>
      <c r="Z22">
        <f>Y22*(1+$AC22/Keys!$C$7^ROUNDUP((Z$8-Keys!$C$6)/Keys!$C$8,0))</f>
        <v>35.295210646145016</v>
      </c>
      <c r="AA22">
        <f>Z22*(1+$AC22/Keys!$C$7^ROUNDUP((AA$8-Keys!$C$6)/Keys!$C$8,0))</f>
        <v>35.291286036827238</v>
      </c>
      <c r="AB22">
        <f>AA22*(1+$AC22/Keys!$C$7^ROUNDUP((AB$8-Keys!$C$6)/Keys!$C$8,0))</f>
        <v>35.287361863901758</v>
      </c>
      <c r="AC22">
        <f>IFERROR((EPRI_PI2026!$H$17/EPRI_PI2026!$F$17)^(1/6)-1,0)</f>
        <v>-2.8465618052953667E-2</v>
      </c>
    </row>
    <row r="23" spans="1:29" x14ac:dyDescent="0.45">
      <c r="A23" t="s">
        <v>46</v>
      </c>
      <c r="B23">
        <f>IFERROR(EPRI_PI2026!$F$18,0)</f>
        <v>375</v>
      </c>
      <c r="C23">
        <f t="shared" si="1"/>
        <v>380.30854509795824</v>
      </c>
      <c r="D23">
        <f t="shared" si="1"/>
        <v>385.69223859873529</v>
      </c>
      <c r="E23">
        <f t="shared" si="1"/>
        <v>391.1521443121589</v>
      </c>
      <c r="F23">
        <f t="shared" si="1"/>
        <v>396.68934110747665</v>
      </c>
      <c r="G23">
        <f t="shared" si="1"/>
        <v>402.30492312653899</v>
      </c>
      <c r="H23">
        <f t="shared" si="1"/>
        <v>407.99999999999994</v>
      </c>
      <c r="I23">
        <f>H23*(1+$AC23/Keys!$C$7^ROUNDUP((I$8-Keys!$C$6)/Keys!$C$8,0))</f>
        <v>409.44392426664461</v>
      </c>
      <c r="J23">
        <f>I23*(1+$AC23/Keys!$C$7^ROUNDUP((J$8-Keys!$C$6)/Keys!$C$8,0))</f>
        <v>410.89295862468094</v>
      </c>
      <c r="K23">
        <f>J23*(1+$AC23/Keys!$C$7^ROUNDUP((K$8-Keys!$C$6)/Keys!$C$8,0))</f>
        <v>412.34712115887601</v>
      </c>
      <c r="L23">
        <f>K23*(1+$AC23/Keys!$C$7^ROUNDUP((L$8-Keys!$C$6)/Keys!$C$8,0))</f>
        <v>413.80643001799945</v>
      </c>
      <c r="M23">
        <f>L23*(1+$AC23/Keys!$C$7^ROUNDUP((M$8-Keys!$C$6)/Keys!$C$8,0))</f>
        <v>415.27090341504987</v>
      </c>
      <c r="N23">
        <f>M23*(1+$AC23/Keys!$C$7^ROUNDUP((N$8-Keys!$C$6)/Keys!$C$8,0))</f>
        <v>415.63831746815799</v>
      </c>
      <c r="O23">
        <f>N23*(1+$AC23/Keys!$C$7^ROUNDUP((O$8-Keys!$C$6)/Keys!$C$8,0))</f>
        <v>416.00605659361122</v>
      </c>
      <c r="P23">
        <f>O23*(1+$AC23/Keys!$C$7^ROUNDUP((P$8-Keys!$C$6)/Keys!$C$8,0))</f>
        <v>416.37412107901974</v>
      </c>
      <c r="Q23">
        <f>P23*(1+$AC23/Keys!$C$7^ROUNDUP((Q$8-Keys!$C$6)/Keys!$C$8,0))</f>
        <v>416.74251121224825</v>
      </c>
      <c r="R23">
        <f>Q23*(1+$AC23/Keys!$C$7^ROUNDUP((R$8-Keys!$C$6)/Keys!$C$8,0))</f>
        <v>417.11122728141606</v>
      </c>
      <c r="S23">
        <f>R23*(1+$AC23/Keys!$C$7^ROUNDUP((S$8-Keys!$C$6)/Keys!$C$8,0))</f>
        <v>417.20348785478637</v>
      </c>
      <c r="T23">
        <f>S23*(1+$AC23/Keys!$C$7^ROUNDUP((T$8-Keys!$C$6)/Keys!$C$8,0))</f>
        <v>417.29576883521565</v>
      </c>
      <c r="U23">
        <f>T23*(1+$AC23/Keys!$C$7^ROUNDUP((U$8-Keys!$C$6)/Keys!$C$8,0))</f>
        <v>417.38807022721767</v>
      </c>
      <c r="V23">
        <f>U23*(1+$AC23/Keys!$C$7^ROUNDUP((V$8-Keys!$C$6)/Keys!$C$8,0))</f>
        <v>417.48039203530726</v>
      </c>
      <c r="W23">
        <f>V23*(1+$AC23/Keys!$C$7^ROUNDUP((W$8-Keys!$C$6)/Keys!$C$8,0))</f>
        <v>417.5727342640003</v>
      </c>
      <c r="X23">
        <f>W23*(1+$AC23/Keys!$C$7^ROUNDUP((X$8-Keys!$C$6)/Keys!$C$8,0))</f>
        <v>417.59582492745363</v>
      </c>
      <c r="Y23">
        <f>X23*(1+$AC23/Keys!$C$7^ROUNDUP((Y$8-Keys!$C$6)/Keys!$C$8,0))</f>
        <v>417.61891686775937</v>
      </c>
      <c r="Z23">
        <f>Y23*(1+$AC23/Keys!$C$7^ROUNDUP((Z$8-Keys!$C$6)/Keys!$C$8,0))</f>
        <v>417.6420100849881</v>
      </c>
      <c r="AA23">
        <f>Z23*(1+$AC23/Keys!$C$7^ROUNDUP((AA$8-Keys!$C$6)/Keys!$C$8,0))</f>
        <v>417.66510457921044</v>
      </c>
      <c r="AB23">
        <f>AA23*(1+$AC23/Keys!$C$7^ROUNDUP((AB$8-Keys!$C$6)/Keys!$C$8,0))</f>
        <v>417.68820035049697</v>
      </c>
      <c r="AC23">
        <f>IFERROR((EPRI_PI2026!$H$18/EPRI_PI2026!$F$18)^(1/6)-1,0)</f>
        <v>1.4156120261221927E-2</v>
      </c>
    </row>
    <row r="24" spans="1:29" x14ac:dyDescent="0.45">
      <c r="A24" t="s">
        <v>50</v>
      </c>
      <c r="B24">
        <f>IFERROR(EPRI_PI2026!$F$19,0)</f>
        <v>9</v>
      </c>
      <c r="C24">
        <f t="shared" si="1"/>
        <v>19.048473503076256</v>
      </c>
      <c r="D24">
        <f t="shared" si="1"/>
        <v>40.316038088599797</v>
      </c>
      <c r="E24">
        <f t="shared" si="1"/>
        <v>85.32877591996737</v>
      </c>
      <c r="F24">
        <f t="shared" si="1"/>
        <v>180.59810301793664</v>
      </c>
      <c r="G24">
        <f t="shared" si="1"/>
        <v>382.23535333811134</v>
      </c>
      <c r="H24">
        <f t="shared" si="1"/>
        <v>809.00000000000045</v>
      </c>
      <c r="I24">
        <f>H24*(1+$AC24/Keys!$C$7^ROUNDUP((I$8-Keys!$C$6)/Keys!$C$8,0))</f>
        <v>1034.811529555242</v>
      </c>
      <c r="J24">
        <f>I24*(1+$AC24/Keys!$C$7^ROUNDUP((J$8-Keys!$C$6)/Keys!$C$8,0))</f>
        <v>1323.6525360945104</v>
      </c>
      <c r="K24">
        <f>J24*(1+$AC24/Keys!$C$7^ROUNDUP((K$8-Keys!$C$6)/Keys!$C$8,0))</f>
        <v>1693.11607598966</v>
      </c>
      <c r="L24">
        <f>K24*(1+$AC24/Keys!$C$7^ROUNDUP((L$8-Keys!$C$6)/Keys!$C$8,0))</f>
        <v>2165.7058545233976</v>
      </c>
      <c r="M24">
        <f>L24*(1+$AC24/Keys!$C$7^ROUNDUP((M$8-Keys!$C$6)/Keys!$C$8,0))</f>
        <v>2770.2069071521614</v>
      </c>
      <c r="N24">
        <f>M24*(1+$AC24/Keys!$C$7^ROUNDUP((N$8-Keys!$C$6)/Keys!$C$8,0))</f>
        <v>2963.5148981560319</v>
      </c>
      <c r="O24">
        <f>N24*(1+$AC24/Keys!$C$7^ROUNDUP((O$8-Keys!$C$6)/Keys!$C$8,0))</f>
        <v>3170.3121268372306</v>
      </c>
      <c r="P24">
        <f>O24*(1+$AC24/Keys!$C$7^ROUNDUP((P$8-Keys!$C$6)/Keys!$C$8,0))</f>
        <v>3391.5398865803227</v>
      </c>
      <c r="Q24">
        <f>P24*(1+$AC24/Keys!$C$7^ROUNDUP((Q$8-Keys!$C$6)/Keys!$C$8,0))</f>
        <v>3628.2051552256603</v>
      </c>
      <c r="R24">
        <f>Q24*(1+$AC24/Keys!$C$7^ROUNDUP((R$8-Keys!$C$6)/Keys!$C$8,0))</f>
        <v>3881.3851786007281</v>
      </c>
      <c r="S24">
        <f>R24*(1+$AC24/Keys!$C$7^ROUNDUP((S$8-Keys!$C$6)/Keys!$C$8,0))</f>
        <v>3949.0969774243426</v>
      </c>
      <c r="T24">
        <f>S24*(1+$AC24/Keys!$C$7^ROUNDUP((T$8-Keys!$C$6)/Keys!$C$8,0))</f>
        <v>4017.9900266235213</v>
      </c>
      <c r="U24">
        <f>T24*(1+$AC24/Keys!$C$7^ROUNDUP((U$8-Keys!$C$6)/Keys!$C$8,0))</f>
        <v>4088.0849334258664</v>
      </c>
      <c r="V24">
        <f>U24*(1+$AC24/Keys!$C$7^ROUNDUP((V$8-Keys!$C$6)/Keys!$C$8,0))</f>
        <v>4159.4026645575586</v>
      </c>
      <c r="W24">
        <f>V24*(1+$AC24/Keys!$C$7^ROUNDUP((W$8-Keys!$C$6)/Keys!$C$8,0))</f>
        <v>4231.9645525149044</v>
      </c>
      <c r="X24">
        <f>W24*(1+$AC24/Keys!$C$7^ROUNDUP((X$8-Keys!$C$6)/Keys!$C$8,0))</f>
        <v>4250.4214898725013</v>
      </c>
      <c r="Y24">
        <f>X24*(1+$AC24/Keys!$C$7^ROUNDUP((Y$8-Keys!$C$6)/Keys!$C$8,0))</f>
        <v>4268.9589237778355</v>
      </c>
      <c r="Z24">
        <f>Y24*(1+$AC24/Keys!$C$7^ROUNDUP((Z$8-Keys!$C$6)/Keys!$C$8,0))</f>
        <v>4287.5772053018381</v>
      </c>
      <c r="AA24">
        <f>Z24*(1+$AC24/Keys!$C$7^ROUNDUP((AA$8-Keys!$C$6)/Keys!$C$8,0))</f>
        <v>4306.276687046573</v>
      </c>
      <c r="AB24">
        <f>AA24*(1+$AC24/Keys!$C$7^ROUNDUP((AB$8-Keys!$C$6)/Keys!$C$8,0))</f>
        <v>4325.0577231519128</v>
      </c>
      <c r="AC24">
        <f>IFERROR((EPRI_PI2026!$H$19/EPRI_PI2026!$F$19)^(1/6)-1,0)</f>
        <v>1.1164970558973617</v>
      </c>
    </row>
    <row r="25" spans="1:29" x14ac:dyDescent="0.45">
      <c r="A25" t="s">
        <v>54</v>
      </c>
      <c r="B25">
        <f>IFERROR(EPRI_PI2026!$F$20,0)</f>
        <v>3</v>
      </c>
      <c r="C25">
        <f t="shared" si="1"/>
        <v>3</v>
      </c>
      <c r="D25">
        <f t="shared" si="1"/>
        <v>3</v>
      </c>
      <c r="E25">
        <f t="shared" si="1"/>
        <v>3</v>
      </c>
      <c r="F25">
        <f t="shared" si="1"/>
        <v>3</v>
      </c>
      <c r="G25">
        <f t="shared" si="1"/>
        <v>3</v>
      </c>
      <c r="H25">
        <f t="shared" si="1"/>
        <v>3</v>
      </c>
      <c r="I25">
        <f>H25*(1+$AC25/Keys!$C$7^ROUNDUP((I$8-Keys!$C$6)/Keys!$C$8,0))</f>
        <v>3</v>
      </c>
      <c r="J25">
        <f>I25*(1+$AC25/Keys!$C$7^ROUNDUP((J$8-Keys!$C$6)/Keys!$C$8,0))</f>
        <v>3</v>
      </c>
      <c r="K25">
        <f>J25*(1+$AC25/Keys!$C$7^ROUNDUP((K$8-Keys!$C$6)/Keys!$C$8,0))</f>
        <v>3</v>
      </c>
      <c r="L25">
        <f>K25*(1+$AC25/Keys!$C$7^ROUNDUP((L$8-Keys!$C$6)/Keys!$C$8,0))</f>
        <v>3</v>
      </c>
      <c r="M25">
        <f>L25*(1+$AC25/Keys!$C$7^ROUNDUP((M$8-Keys!$C$6)/Keys!$C$8,0))</f>
        <v>3</v>
      </c>
      <c r="N25">
        <f>M25*(1+$AC25/Keys!$C$7^ROUNDUP((N$8-Keys!$C$6)/Keys!$C$8,0))</f>
        <v>3</v>
      </c>
      <c r="O25">
        <f>N25*(1+$AC25/Keys!$C$7^ROUNDUP((O$8-Keys!$C$6)/Keys!$C$8,0))</f>
        <v>3</v>
      </c>
      <c r="P25">
        <f>O25*(1+$AC25/Keys!$C$7^ROUNDUP((P$8-Keys!$C$6)/Keys!$C$8,0))</f>
        <v>3</v>
      </c>
      <c r="Q25">
        <f>P25*(1+$AC25/Keys!$C$7^ROUNDUP((Q$8-Keys!$C$6)/Keys!$C$8,0))</f>
        <v>3</v>
      </c>
      <c r="R25">
        <f>Q25*(1+$AC25/Keys!$C$7^ROUNDUP((R$8-Keys!$C$6)/Keys!$C$8,0))</f>
        <v>3</v>
      </c>
      <c r="S25">
        <f>R25*(1+$AC25/Keys!$C$7^ROUNDUP((S$8-Keys!$C$6)/Keys!$C$8,0))</f>
        <v>3</v>
      </c>
      <c r="T25">
        <f>S25*(1+$AC25/Keys!$C$7^ROUNDUP((T$8-Keys!$C$6)/Keys!$C$8,0))</f>
        <v>3</v>
      </c>
      <c r="U25">
        <f>T25*(1+$AC25/Keys!$C$7^ROUNDUP((U$8-Keys!$C$6)/Keys!$C$8,0))</f>
        <v>3</v>
      </c>
      <c r="V25">
        <f>U25*(1+$AC25/Keys!$C$7^ROUNDUP((V$8-Keys!$C$6)/Keys!$C$8,0))</f>
        <v>3</v>
      </c>
      <c r="W25">
        <f>V25*(1+$AC25/Keys!$C$7^ROUNDUP((W$8-Keys!$C$6)/Keys!$C$8,0))</f>
        <v>3</v>
      </c>
      <c r="X25">
        <f>W25*(1+$AC25/Keys!$C$7^ROUNDUP((X$8-Keys!$C$6)/Keys!$C$8,0))</f>
        <v>3</v>
      </c>
      <c r="Y25">
        <f>X25*(1+$AC25/Keys!$C$7^ROUNDUP((Y$8-Keys!$C$6)/Keys!$C$8,0))</f>
        <v>3</v>
      </c>
      <c r="Z25">
        <f>Y25*(1+$AC25/Keys!$C$7^ROUNDUP((Z$8-Keys!$C$6)/Keys!$C$8,0))</f>
        <v>3</v>
      </c>
      <c r="AA25">
        <f>Z25*(1+$AC25/Keys!$C$7^ROUNDUP((AA$8-Keys!$C$6)/Keys!$C$8,0))</f>
        <v>3</v>
      </c>
      <c r="AB25">
        <f>AA25*(1+$AC25/Keys!$C$7^ROUNDUP((AB$8-Keys!$C$6)/Keys!$C$8,0))</f>
        <v>3</v>
      </c>
      <c r="AC25">
        <f>IFERROR((EPRI_PI2026!$H$20/EPRI_PI2026!$F$20)^(1/6)-1,0)</f>
        <v>0</v>
      </c>
    </row>
    <row r="26" spans="1:29" x14ac:dyDescent="0.45">
      <c r="A26" t="s">
        <v>56</v>
      </c>
      <c r="B26">
        <f>IFERROR(EPRI_PI2026!$F$21,0)</f>
        <v>63</v>
      </c>
      <c r="C26">
        <f t="shared" si="1"/>
        <v>90.319532073331175</v>
      </c>
      <c r="D26">
        <f t="shared" si="1"/>
        <v>129.48599799913492</v>
      </c>
      <c r="E26">
        <f t="shared" si="1"/>
        <v>185.63674205285974</v>
      </c>
      <c r="F26">
        <f t="shared" si="1"/>
        <v>266.13688377511068</v>
      </c>
      <c r="G26">
        <f t="shared" si="1"/>
        <v>381.54537793686541</v>
      </c>
      <c r="H26">
        <f t="shared" si="1"/>
        <v>546.99999999999977</v>
      </c>
      <c r="I26">
        <f>H26*(1+$AC26/Keys!$C$7^ROUNDUP((I$8-Keys!$C$6)/Keys!$C$8,0))</f>
        <v>606.30073033377812</v>
      </c>
      <c r="J26">
        <f>I26*(1+$AC26/Keys!$C$7^ROUNDUP((J$8-Keys!$C$6)/Keys!$C$8,0))</f>
        <v>672.03030274821367</v>
      </c>
      <c r="K26">
        <f>J26*(1+$AC26/Keys!$C$7^ROUNDUP((K$8-Keys!$C$6)/Keys!$C$8,0))</f>
        <v>744.88567342353224</v>
      </c>
      <c r="L26">
        <f>K26*(1+$AC26/Keys!$C$7^ROUNDUP((L$8-Keys!$C$6)/Keys!$C$8,0))</f>
        <v>825.63935614598893</v>
      </c>
      <c r="M26">
        <f>L26*(1+$AC26/Keys!$C$7^ROUNDUP((M$8-Keys!$C$6)/Keys!$C$8,0))</f>
        <v>915.14761357152406</v>
      </c>
      <c r="N26">
        <f>M26*(1+$AC26/Keys!$C$7^ROUNDUP((N$8-Keys!$C$6)/Keys!$C$8,0))</f>
        <v>939.95059430644449</v>
      </c>
      <c r="O26">
        <f>N26*(1+$AC26/Keys!$C$7^ROUNDUP((O$8-Keys!$C$6)/Keys!$C$8,0))</f>
        <v>965.42580304503736</v>
      </c>
      <c r="P26">
        <f>O26*(1+$AC26/Keys!$C$7^ROUNDUP((P$8-Keys!$C$6)/Keys!$C$8,0))</f>
        <v>991.59145898820248</v>
      </c>
      <c r="Q26">
        <f>P26*(1+$AC26/Keys!$C$7^ROUNDUP((Q$8-Keys!$C$6)/Keys!$C$8,0))</f>
        <v>1018.4662751265651</v>
      </c>
      <c r="R26">
        <f>Q26*(1+$AC26/Keys!$C$7^ROUNDUP((R$8-Keys!$C$6)/Keys!$C$8,0))</f>
        <v>1046.0694716235157</v>
      </c>
      <c r="S26">
        <f>R26*(1+$AC26/Keys!$C$7^ROUNDUP((S$8-Keys!$C$6)/Keys!$C$8,0))</f>
        <v>1053.1573011078788</v>
      </c>
      <c r="T26">
        <f>S26*(1+$AC26/Keys!$C$7^ROUNDUP((T$8-Keys!$C$6)/Keys!$C$8,0))</f>
        <v>1060.2931554396941</v>
      </c>
      <c r="U26">
        <f>T26*(1+$AC26/Keys!$C$7^ROUNDUP((U$8-Keys!$C$6)/Keys!$C$8,0))</f>
        <v>1067.477360019845</v>
      </c>
      <c r="V26">
        <f>U26*(1+$AC26/Keys!$C$7^ROUNDUP((V$8-Keys!$C$6)/Keys!$C$8,0))</f>
        <v>1074.710242454026</v>
      </c>
      <c r="W26">
        <f>V26*(1+$AC26/Keys!$C$7^ROUNDUP((W$8-Keys!$C$6)/Keys!$C$8,0))</f>
        <v>1081.9921325676819</v>
      </c>
      <c r="X26">
        <f>W26*(1+$AC26/Keys!$C$7^ROUNDUP((X$8-Keys!$C$6)/Keys!$C$8,0))</f>
        <v>1083.8249400310235</v>
      </c>
      <c r="Y26">
        <f>X26*(1+$AC26/Keys!$C$7^ROUNDUP((Y$8-Keys!$C$6)/Keys!$C$8,0))</f>
        <v>1085.6608521224828</v>
      </c>
      <c r="Z26">
        <f>Y26*(1+$AC26/Keys!$C$7^ROUNDUP((Z$8-Keys!$C$6)/Keys!$C$8,0))</f>
        <v>1087.4998741010493</v>
      </c>
      <c r="AA26">
        <f>Z26*(1+$AC26/Keys!$C$7^ROUNDUP((AA$8-Keys!$C$6)/Keys!$C$8,0))</f>
        <v>1089.3420112346212</v>
      </c>
      <c r="AB26">
        <f>AA26*(1+$AC26/Keys!$C$7^ROUNDUP((AB$8-Keys!$C$6)/Keys!$C$8,0))</f>
        <v>1091.1872688000199</v>
      </c>
      <c r="AC26">
        <f>IFERROR((EPRI_PI2026!$H$21/EPRI_PI2026!$F$21)^(1/6)-1,0)</f>
        <v>0.43364336624335209</v>
      </c>
    </row>
    <row r="27" spans="1:29" x14ac:dyDescent="0.45">
      <c r="A27" t="s">
        <v>59</v>
      </c>
      <c r="B27">
        <f>IFERROR(EPRI_PI2026!$F$22,0)</f>
        <v>171</v>
      </c>
      <c r="C27">
        <f t="shared" si="1"/>
        <v>169.11550330035396</v>
      </c>
      <c r="D27">
        <f t="shared" si="1"/>
        <v>167.25177459960253</v>
      </c>
      <c r="E27">
        <f t="shared" si="1"/>
        <v>165.40858502508269</v>
      </c>
      <c r="F27">
        <f t="shared" si="1"/>
        <v>163.58570822641082</v>
      </c>
      <c r="G27">
        <f t="shared" si="1"/>
        <v>161.78292034768606</v>
      </c>
      <c r="H27">
        <f t="shared" si="1"/>
        <v>160.00000000000003</v>
      </c>
      <c r="I27">
        <f>H27*(1+$AC27/Keys!$C$7^ROUNDUP((I$8-Keys!$C$6)/Keys!$C$8,0))</f>
        <v>159.55918205856236</v>
      </c>
      <c r="J27">
        <f>I27*(1+$AC27/Keys!$C$7^ROUNDUP((J$8-Keys!$C$6)/Keys!$C$8,0))</f>
        <v>159.119578619984</v>
      </c>
      <c r="K27">
        <f>J27*(1+$AC27/Keys!$C$7^ROUNDUP((K$8-Keys!$C$6)/Keys!$C$8,0))</f>
        <v>158.68118633817343</v>
      </c>
      <c r="L27">
        <f>K27*(1+$AC27/Keys!$C$7^ROUNDUP((L$8-Keys!$C$6)/Keys!$C$8,0))</f>
        <v>158.24400187625793</v>
      </c>
      <c r="M27">
        <f>L27*(1+$AC27/Keys!$C$7^ROUNDUP((M$8-Keys!$C$6)/Keys!$C$8,0))</f>
        <v>157.80802190655822</v>
      </c>
      <c r="N27">
        <f>M27*(1+$AC27/Keys!$C$7^ROUNDUP((N$8-Keys!$C$6)/Keys!$C$8,0))</f>
        <v>157.69932720755949</v>
      </c>
      <c r="O27">
        <f>N27*(1+$AC27/Keys!$C$7^ROUNDUP((O$8-Keys!$C$6)/Keys!$C$8,0))</f>
        <v>157.59070737508176</v>
      </c>
      <c r="P27">
        <f>O27*(1+$AC27/Keys!$C$7^ROUNDUP((P$8-Keys!$C$6)/Keys!$C$8,0))</f>
        <v>157.48216235755865</v>
      </c>
      <c r="Q27">
        <f>P27*(1+$AC27/Keys!$C$7^ROUNDUP((Q$8-Keys!$C$6)/Keys!$C$8,0))</f>
        <v>157.37369210345926</v>
      </c>
      <c r="R27">
        <f>Q27*(1+$AC27/Keys!$C$7^ROUNDUP((R$8-Keys!$C$6)/Keys!$C$8,0))</f>
        <v>157.26529656128818</v>
      </c>
      <c r="S27">
        <f>R27*(1+$AC27/Keys!$C$7^ROUNDUP((S$8-Keys!$C$6)/Keys!$C$8,0))</f>
        <v>157.23821634086249</v>
      </c>
      <c r="T27">
        <f>S27*(1+$AC27/Keys!$C$7^ROUNDUP((T$8-Keys!$C$6)/Keys!$C$8,0))</f>
        <v>157.21114078350206</v>
      </c>
      <c r="U27">
        <f>T27*(1+$AC27/Keys!$C$7^ROUNDUP((U$8-Keys!$C$6)/Keys!$C$8,0))</f>
        <v>157.18406988840391</v>
      </c>
      <c r="V27">
        <f>U27*(1+$AC27/Keys!$C$7^ROUNDUP((V$8-Keys!$C$6)/Keys!$C$8,0))</f>
        <v>157.15700365476522</v>
      </c>
      <c r="W27">
        <f>V27*(1+$AC27/Keys!$C$7^ROUNDUP((W$8-Keys!$C$6)/Keys!$C$8,0))</f>
        <v>157.12994208178333</v>
      </c>
      <c r="X27">
        <f>W27*(1+$AC27/Keys!$C$7^ROUNDUP((X$8-Keys!$C$6)/Keys!$C$8,0))</f>
        <v>157.12317785350143</v>
      </c>
      <c r="Y27">
        <f>X27*(1+$AC27/Keys!$C$7^ROUNDUP((Y$8-Keys!$C$6)/Keys!$C$8,0))</f>
        <v>157.11641391641027</v>
      </c>
      <c r="Z27">
        <f>Y27*(1+$AC27/Keys!$C$7^ROUNDUP((Z$8-Keys!$C$6)/Keys!$C$8,0))</f>
        <v>157.10965027049733</v>
      </c>
      <c r="AA27">
        <f>Z27*(1+$AC27/Keys!$C$7^ROUNDUP((AA$8-Keys!$C$6)/Keys!$C$8,0))</f>
        <v>157.10288691575005</v>
      </c>
      <c r="AB27">
        <f>AA27*(1+$AC27/Keys!$C$7^ROUNDUP((AB$8-Keys!$C$6)/Keys!$C$8,0))</f>
        <v>157.0961238521559</v>
      </c>
      <c r="AC27">
        <f>IFERROR((EPRI_PI2026!$H$22/EPRI_PI2026!$F$22)^(1/6)-1,0)</f>
        <v>-1.1020448535941751E-2</v>
      </c>
    </row>
    <row r="28" spans="1:29" x14ac:dyDescent="0.45">
      <c r="A28" t="s">
        <v>62</v>
      </c>
      <c r="B28">
        <f>IFERROR(EPRI_PI2026!$F$23,0)</f>
        <v>97</v>
      </c>
      <c r="C28">
        <f t="shared" si="1"/>
        <v>100.2205495377175</v>
      </c>
      <c r="D28">
        <f t="shared" si="1"/>
        <v>103.54802628496998</v>
      </c>
      <c r="E28">
        <f t="shared" si="1"/>
        <v>106.98598038995576</v>
      </c>
      <c r="F28">
        <f t="shared" si="1"/>
        <v>110.53807987126633</v>
      </c>
      <c r="G28">
        <f t="shared" si="1"/>
        <v>114.20811453136517</v>
      </c>
      <c r="H28">
        <f t="shared" si="1"/>
        <v>117.99999999999997</v>
      </c>
      <c r="I28">
        <f>H28*(1+$AC28/Keys!$C$7^ROUNDUP((I$8-Keys!$C$6)/Keys!$C$8,0))</f>
        <v>118.97944547796561</v>
      </c>
      <c r="J28">
        <f>I28*(1+$AC28/Keys!$C$7^ROUNDUP((J$8-Keys!$C$6)/Keys!$C$8,0))</f>
        <v>119.96702073088301</v>
      </c>
      <c r="K28">
        <f>J28*(1+$AC28/Keys!$C$7^ROUNDUP((K$8-Keys!$C$6)/Keys!$C$8,0))</f>
        <v>120.96279323901753</v>
      </c>
      <c r="L28">
        <f>K28*(1+$AC28/Keys!$C$7^ROUNDUP((L$8-Keys!$C$6)/Keys!$C$8,0))</f>
        <v>121.96683104274675</v>
      </c>
      <c r="M28">
        <f>L28*(1+$AC28/Keys!$C$7^ROUNDUP((M$8-Keys!$C$6)/Keys!$C$8,0))</f>
        <v>122.97920274720961</v>
      </c>
      <c r="N28">
        <f>M28*(1+$AC28/Keys!$C$7^ROUNDUP((N$8-Keys!$C$6)/Keys!$C$8,0))</f>
        <v>123.23439644215574</v>
      </c>
      <c r="O28">
        <f>N28*(1+$AC28/Keys!$C$7^ROUNDUP((O$8-Keys!$C$6)/Keys!$C$8,0))</f>
        <v>123.49011968860721</v>
      </c>
      <c r="P28">
        <f>O28*(1+$AC28/Keys!$C$7^ROUNDUP((P$8-Keys!$C$6)/Keys!$C$8,0))</f>
        <v>123.74637358543441</v>
      </c>
      <c r="Q28">
        <f>P28*(1+$AC28/Keys!$C$7^ROUNDUP((Q$8-Keys!$C$6)/Keys!$C$8,0))</f>
        <v>124.00315923378801</v>
      </c>
      <c r="R28">
        <f>Q28*(1+$AC28/Keys!$C$7^ROUNDUP((R$8-Keys!$C$6)/Keys!$C$8,0))</f>
        <v>124.26047773710366</v>
      </c>
      <c r="S28">
        <f>R28*(1+$AC28/Keys!$C$7^ROUNDUP((S$8-Keys!$C$6)/Keys!$C$8,0))</f>
        <v>124.32494085310444</v>
      </c>
      <c r="T28">
        <f>S28*(1+$AC28/Keys!$C$7^ROUNDUP((T$8-Keys!$C$6)/Keys!$C$8,0))</f>
        <v>124.38943741089942</v>
      </c>
      <c r="U28">
        <f>T28*(1+$AC28/Keys!$C$7^ROUNDUP((U$8-Keys!$C$6)/Keys!$C$8,0))</f>
        <v>124.45396742783734</v>
      </c>
      <c r="V28">
        <f>U28*(1+$AC28/Keys!$C$7^ROUNDUP((V$8-Keys!$C$6)/Keys!$C$8,0))</f>
        <v>124.51853092127595</v>
      </c>
      <c r="W28">
        <f>V28*(1+$AC28/Keys!$C$7^ROUNDUP((W$8-Keys!$C$6)/Keys!$C$8,0))</f>
        <v>124.58312790858199</v>
      </c>
      <c r="X28">
        <f>W28*(1+$AC28/Keys!$C$7^ROUNDUP((X$8-Keys!$C$6)/Keys!$C$8,0))</f>
        <v>124.59928553321927</v>
      </c>
      <c r="Y28">
        <f>X28*(1+$AC28/Keys!$C$7^ROUNDUP((Y$8-Keys!$C$6)/Keys!$C$8,0))</f>
        <v>124.61544525339581</v>
      </c>
      <c r="Z28">
        <f>Y28*(1+$AC28/Keys!$C$7^ROUNDUP((Z$8-Keys!$C$6)/Keys!$C$8,0))</f>
        <v>124.63160706938336</v>
      </c>
      <c r="AA28">
        <f>Z28*(1+$AC28/Keys!$C$7^ROUNDUP((AA$8-Keys!$C$6)/Keys!$C$8,0))</f>
        <v>124.64777098145376</v>
      </c>
      <c r="AB28">
        <f>AA28*(1+$AC28/Keys!$C$7^ROUNDUP((AB$8-Keys!$C$6)/Keys!$C$8,0))</f>
        <v>124.66393698987885</v>
      </c>
      <c r="AC28">
        <f>IFERROR((EPRI_PI2026!$H$23/EPRI_PI2026!$F$23)^(1/6)-1,0)</f>
        <v>3.3201541625953679E-2</v>
      </c>
    </row>
    <row r="29" spans="1:29" x14ac:dyDescent="0.45">
      <c r="A29" t="s">
        <v>65</v>
      </c>
      <c r="B29">
        <f>IFERROR(EPRI_PI2026!$F$24,0)</f>
        <v>106</v>
      </c>
      <c r="C29">
        <f t="shared" ref="C29:H38" si="2">B29*(1+$AC29)</f>
        <v>122.78016573354473</v>
      </c>
      <c r="D29">
        <f t="shared" si="2"/>
        <v>142.21668959959163</v>
      </c>
      <c r="E29">
        <f t="shared" si="2"/>
        <v>164.73008225579196</v>
      </c>
      <c r="F29">
        <f t="shared" si="2"/>
        <v>190.80742264779803</v>
      </c>
      <c r="G29">
        <f t="shared" si="2"/>
        <v>221.01289599893548</v>
      </c>
      <c r="H29">
        <f t="shared" si="2"/>
        <v>255.99999999999986</v>
      </c>
      <c r="I29">
        <f>H29*(1+$AC29/Keys!$C$7^ROUNDUP((I$8-Keys!$C$6)/Keys!$C$8,0))</f>
        <v>266.13142082025325</v>
      </c>
      <c r="J29">
        <f>I29*(1+$AC29/Keys!$C$7^ROUNDUP((J$8-Keys!$C$6)/Keys!$C$8,0))</f>
        <v>276.66380135862022</v>
      </c>
      <c r="K29">
        <f>J29*(1+$AC29/Keys!$C$7^ROUNDUP((K$8-Keys!$C$6)/Keys!$C$8,0))</f>
        <v>287.61300994180453</v>
      </c>
      <c r="L29">
        <f>K29*(1+$AC29/Keys!$C$7^ROUNDUP((L$8-Keys!$C$6)/Keys!$C$8,0))</f>
        <v>298.99554289922702</v>
      </c>
      <c r="M29">
        <f>L29*(1+$AC29/Keys!$C$7^ROUNDUP((M$8-Keys!$C$6)/Keys!$C$8,0))</f>
        <v>310.82854941677471</v>
      </c>
      <c r="N29">
        <f>M29*(1+$AC29/Keys!$C$7^ROUNDUP((N$8-Keys!$C$6)/Keys!$C$8,0))</f>
        <v>313.90387640612067</v>
      </c>
      <c r="O29">
        <f>N29*(1+$AC29/Keys!$C$7^ROUNDUP((O$8-Keys!$C$6)/Keys!$C$8,0))</f>
        <v>317.00963057504572</v>
      </c>
      <c r="P29">
        <f>O29*(1+$AC29/Keys!$C$7^ROUNDUP((P$8-Keys!$C$6)/Keys!$C$8,0))</f>
        <v>320.14611296901921</v>
      </c>
      <c r="Q29">
        <f>P29*(1+$AC29/Keys!$C$7^ROUNDUP((Q$8-Keys!$C$6)/Keys!$C$8,0))</f>
        <v>323.31362761204412</v>
      </c>
      <c r="R29">
        <f>Q29*(1+$AC29/Keys!$C$7^ROUNDUP((R$8-Keys!$C$6)/Keys!$C$8,0))</f>
        <v>326.51248153612647</v>
      </c>
      <c r="S29">
        <f>R29*(1+$AC29/Keys!$C$7^ROUNDUP((S$8-Keys!$C$6)/Keys!$C$8,0))</f>
        <v>327.32010735485392</v>
      </c>
      <c r="T29">
        <f>S29*(1+$AC29/Keys!$C$7^ROUNDUP((T$8-Keys!$C$6)/Keys!$C$8,0))</f>
        <v>328.12973082910742</v>
      </c>
      <c r="U29">
        <f>T29*(1+$AC29/Keys!$C$7^ROUNDUP((U$8-Keys!$C$6)/Keys!$C$8,0))</f>
        <v>328.94135690007079</v>
      </c>
      <c r="V29">
        <f>U29*(1+$AC29/Keys!$C$7^ROUNDUP((V$8-Keys!$C$6)/Keys!$C$8,0))</f>
        <v>329.75499052114981</v>
      </c>
      <c r="W29">
        <f>V29*(1+$AC29/Keys!$C$7^ROUNDUP((W$8-Keys!$C$6)/Keys!$C$8,0))</f>
        <v>330.5706366580024</v>
      </c>
      <c r="X29">
        <f>W29*(1+$AC29/Keys!$C$7^ROUNDUP((X$8-Keys!$C$6)/Keys!$C$8,0))</f>
        <v>330.77505256564405</v>
      </c>
      <c r="Y29">
        <f>X29*(1+$AC29/Keys!$C$7^ROUNDUP((Y$8-Keys!$C$6)/Keys!$C$8,0))</f>
        <v>330.9795948785337</v>
      </c>
      <c r="Z29">
        <f>Y29*(1+$AC29/Keys!$C$7^ROUNDUP((Z$8-Keys!$C$6)/Keys!$C$8,0))</f>
        <v>331.18426367483687</v>
      </c>
      <c r="AA29">
        <f>Z29*(1+$AC29/Keys!$C$7^ROUNDUP((AA$8-Keys!$C$6)/Keys!$C$8,0))</f>
        <v>331.38905903276748</v>
      </c>
      <c r="AB29">
        <f>AA29*(1+$AC29/Keys!$C$7^ROUNDUP((AB$8-Keys!$C$6)/Keys!$C$8,0))</f>
        <v>331.59398103058783</v>
      </c>
      <c r="AC29">
        <f>IFERROR((EPRI_PI2026!$H$24/EPRI_PI2026!$F$24)^(1/6)-1,0)</f>
        <v>0.15830345031645976</v>
      </c>
    </row>
    <row r="30" spans="1:29" x14ac:dyDescent="0.45">
      <c r="A30" t="s">
        <v>67</v>
      </c>
      <c r="B30">
        <f>IFERROR(EPRI_PI2026!$F$25,0)</f>
        <v>46</v>
      </c>
      <c r="C30">
        <f t="shared" si="2"/>
        <v>70.615104847207107</v>
      </c>
      <c r="D30">
        <f t="shared" si="2"/>
        <v>108.40202244743594</v>
      </c>
      <c r="E30">
        <f t="shared" si="2"/>
        <v>166.40913436467366</v>
      </c>
      <c r="F30">
        <f t="shared" si="2"/>
        <v>255.45648849335666</v>
      </c>
      <c r="G30">
        <f t="shared" si="2"/>
        <v>392.15405910560298</v>
      </c>
      <c r="H30">
        <f t="shared" si="2"/>
        <v>602.00000000000023</v>
      </c>
      <c r="I30">
        <f>H30*(1+$AC30/Keys!$C$7^ROUNDUP((I$8-Keys!$C$6)/Keys!$C$8,0))</f>
        <v>682.53420172836275</v>
      </c>
      <c r="J30">
        <f>I30*(1+$AC30/Keys!$C$7^ROUNDUP((J$8-Keys!$C$6)/Keys!$C$8,0))</f>
        <v>773.84208725743053</v>
      </c>
      <c r="K30">
        <f>J30*(1+$AC30/Keys!$C$7^ROUNDUP((K$8-Keys!$C$6)/Keys!$C$8,0))</f>
        <v>877.36493569777429</v>
      </c>
      <c r="L30">
        <f>K30*(1+$AC30/Keys!$C$7^ROUNDUP((L$8-Keys!$C$6)/Keys!$C$8,0))</f>
        <v>994.7368372274691</v>
      </c>
      <c r="M30">
        <f>L30*(1+$AC30/Keys!$C$7^ROUNDUP((M$8-Keys!$C$6)/Keys!$C$8,0))</f>
        <v>1127.8104869216722</v>
      </c>
      <c r="N30">
        <f>M30*(1+$AC30/Keys!$C$7^ROUNDUP((N$8-Keys!$C$6)/Keys!$C$8,0))</f>
        <v>1165.5294724968851</v>
      </c>
      <c r="O30">
        <f>N30*(1+$AC30/Keys!$C$7^ROUNDUP((O$8-Keys!$C$6)/Keys!$C$8,0))</f>
        <v>1204.5099482686526</v>
      </c>
      <c r="P30">
        <f>O30*(1+$AC30/Keys!$C$7^ROUNDUP((P$8-Keys!$C$6)/Keys!$C$8,0))</f>
        <v>1244.7941040650344</v>
      </c>
      <c r="Q30">
        <f>P30*(1+$AC30/Keys!$C$7^ROUNDUP((Q$8-Keys!$C$6)/Keys!$C$8,0))</f>
        <v>1286.4255407290916</v>
      </c>
      <c r="R30">
        <f>Q30*(1+$AC30/Keys!$C$7^ROUNDUP((R$8-Keys!$C$6)/Keys!$C$8,0))</f>
        <v>1329.4493173094879</v>
      </c>
      <c r="S30">
        <f>R30*(1+$AC30/Keys!$C$7^ROUNDUP((S$8-Keys!$C$6)/Keys!$C$8,0))</f>
        <v>1340.5649879394543</v>
      </c>
      <c r="T30">
        <f>S30*(1+$AC30/Keys!$C$7^ROUNDUP((T$8-Keys!$C$6)/Keys!$C$8,0))</f>
        <v>1351.7735979029817</v>
      </c>
      <c r="U30">
        <f>T30*(1+$AC30/Keys!$C$7^ROUNDUP((U$8-Keys!$C$6)/Keys!$C$8,0))</f>
        <v>1363.0759242759668</v>
      </c>
      <c r="V30">
        <f>U30*(1+$AC30/Keys!$C$7^ROUNDUP((V$8-Keys!$C$6)/Keys!$C$8,0))</f>
        <v>1374.4727506315228</v>
      </c>
      <c r="W30">
        <f>V30*(1+$AC30/Keys!$C$7^ROUNDUP((W$8-Keys!$C$6)/Keys!$C$8,0))</f>
        <v>1385.9648670943027</v>
      </c>
      <c r="X30">
        <f>W30*(1+$AC30/Keys!$C$7^ROUNDUP((X$8-Keys!$C$6)/Keys!$C$8,0))</f>
        <v>1388.8619179195466</v>
      </c>
      <c r="Y30">
        <f>X30*(1+$AC30/Keys!$C$7^ROUNDUP((Y$8-Keys!$C$6)/Keys!$C$8,0))</f>
        <v>1391.7650243842106</v>
      </c>
      <c r="Z30">
        <f>Y30*(1+$AC30/Keys!$C$7^ROUNDUP((Z$8-Keys!$C$6)/Keys!$C$8,0))</f>
        <v>1394.67419914626</v>
      </c>
      <c r="AA30">
        <f>Z30*(1+$AC30/Keys!$C$7^ROUNDUP((AA$8-Keys!$C$6)/Keys!$C$8,0))</f>
        <v>1397.5894548901188</v>
      </c>
      <c r="AB30">
        <f>AA30*(1+$AC30/Keys!$C$7^ROUNDUP((AB$8-Keys!$C$6)/Keys!$C$8,0))</f>
        <v>1400.5108043267248</v>
      </c>
      <c r="AC30">
        <f>IFERROR((EPRI_PI2026!$H$25/EPRI_PI2026!$F$25)^(1/6)-1,0)</f>
        <v>0.53511097493928506</v>
      </c>
    </row>
    <row r="31" spans="1:29" x14ac:dyDescent="0.45">
      <c r="A31" t="s">
        <v>69</v>
      </c>
      <c r="B31">
        <f>IFERROR(EPRI_PI2026!$F$26,0)</f>
        <v>224</v>
      </c>
      <c r="C31">
        <f t="shared" si="2"/>
        <v>242.31990498834926</v>
      </c>
      <c r="D31">
        <f t="shared" si="2"/>
        <v>262.13810872126169</v>
      </c>
      <c r="E31">
        <f t="shared" si="2"/>
        <v>283.57714999625762</v>
      </c>
      <c r="F31">
        <f t="shared" si="2"/>
        <v>306.76958948196437</v>
      </c>
      <c r="G31">
        <f t="shared" si="2"/>
        <v>331.85882935975229</v>
      </c>
      <c r="H31">
        <f t="shared" si="2"/>
        <v>358.99999999999994</v>
      </c>
      <c r="I31">
        <f>H31*(1+$AC31/Keys!$C$7^ROUNDUP((I$8-Keys!$C$6)/Keys!$C$8,0))</f>
        <v>366.34022978885861</v>
      </c>
      <c r="J31">
        <f>I31*(1+$AC31/Keys!$C$7^ROUNDUP((J$8-Keys!$C$6)/Keys!$C$8,0))</f>
        <v>373.83054028343668</v>
      </c>
      <c r="K31">
        <f>J31*(1+$AC31/Keys!$C$7^ROUNDUP((K$8-Keys!$C$6)/Keys!$C$8,0))</f>
        <v>381.47400008224901</v>
      </c>
      <c r="L31">
        <f>K31*(1+$AC31/Keys!$C$7^ROUNDUP((L$8-Keys!$C$6)/Keys!$C$8,0))</f>
        <v>389.27374052536544</v>
      </c>
      <c r="M31">
        <f>L31*(1+$AC31/Keys!$C$7^ROUNDUP((M$8-Keys!$C$6)/Keys!$C$8,0))</f>
        <v>397.23295697724495</v>
      </c>
      <c r="N31">
        <f>M31*(1+$AC31/Keys!$C$7^ROUNDUP((N$8-Keys!$C$6)/Keys!$C$8,0))</f>
        <v>399.26344526688342</v>
      </c>
      <c r="O31">
        <f>N31*(1+$AC31/Keys!$C$7^ROUNDUP((O$8-Keys!$C$6)/Keys!$C$8,0))</f>
        <v>401.30431256113854</v>
      </c>
      <c r="P31">
        <f>O31*(1+$AC31/Keys!$C$7^ROUNDUP((P$8-Keys!$C$6)/Keys!$C$8,0))</f>
        <v>403.35561191312934</v>
      </c>
      <c r="Q31">
        <f>P31*(1+$AC31/Keys!$C$7^ROUNDUP((Q$8-Keys!$C$6)/Keys!$C$8,0))</f>
        <v>405.4173966471601</v>
      </c>
      <c r="R31">
        <f>Q31*(1+$AC31/Keys!$C$7^ROUNDUP((R$8-Keys!$C$6)/Keys!$C$8,0))</f>
        <v>407.48972036010656</v>
      </c>
      <c r="S31">
        <f>R31*(1+$AC31/Keys!$C$7^ROUNDUP((S$8-Keys!$C$6)/Keys!$C$8,0))</f>
        <v>408.01044950078222</v>
      </c>
      <c r="T31">
        <f>S31*(1+$AC31/Keys!$C$7^ROUNDUP((T$8-Keys!$C$6)/Keys!$C$8,0))</f>
        <v>408.53184407870549</v>
      </c>
      <c r="U31">
        <f>T31*(1+$AC31/Keys!$C$7^ROUNDUP((U$8-Keys!$C$6)/Keys!$C$8,0))</f>
        <v>409.0539049442354</v>
      </c>
      <c r="V31">
        <f>U31*(1+$AC31/Keys!$C$7^ROUNDUP((V$8-Keys!$C$6)/Keys!$C$8,0))</f>
        <v>409.57663294881769</v>
      </c>
      <c r="W31">
        <f>V31*(1+$AC31/Keys!$C$7^ROUNDUP((W$8-Keys!$C$6)/Keys!$C$8,0))</f>
        <v>410.10002894498609</v>
      </c>
      <c r="X31">
        <f>W31*(1+$AC31/Keys!$C$7^ROUNDUP((X$8-Keys!$C$6)/Keys!$C$8,0))</f>
        <v>410.23104515533055</v>
      </c>
      <c r="Y31">
        <f>X31*(1+$AC31/Keys!$C$7^ROUNDUP((Y$8-Keys!$C$6)/Keys!$C$8,0))</f>
        <v>410.36210322192022</v>
      </c>
      <c r="Z31">
        <f>Y31*(1+$AC31/Keys!$C$7^ROUNDUP((Z$8-Keys!$C$6)/Keys!$C$8,0))</f>
        <v>410.49320315812707</v>
      </c>
      <c r="AA31">
        <f>Z31*(1+$AC31/Keys!$C$7^ROUNDUP((AA$8-Keys!$C$6)/Keys!$C$8,0))</f>
        <v>410.62434497732733</v>
      </c>
      <c r="AB31">
        <f>AA31*(1+$AC31/Keys!$C$7^ROUNDUP((AB$8-Keys!$C$6)/Keys!$C$8,0))</f>
        <v>410.75552869290152</v>
      </c>
      <c r="AC31">
        <f>IFERROR((EPRI_PI2026!$H$26/EPRI_PI2026!$F$26)^(1/6)-1,0)</f>
        <v>8.1785290126559218E-2</v>
      </c>
    </row>
    <row r="32" spans="1:29" x14ac:dyDescent="0.45">
      <c r="A32" t="s">
        <v>71</v>
      </c>
      <c r="B32">
        <f>IFERROR(EPRI_PI2026!$F$27,0)</f>
        <v>106</v>
      </c>
      <c r="C32">
        <f t="shared" si="2"/>
        <v>104.26377056137149</v>
      </c>
      <c r="D32">
        <f t="shared" si="2"/>
        <v>102.55597973277656</v>
      </c>
      <c r="E32">
        <f t="shared" si="2"/>
        <v>100.87616170334792</v>
      </c>
      <c r="F32">
        <f t="shared" si="2"/>
        <v>99.223858291978075</v>
      </c>
      <c r="G32">
        <f t="shared" si="2"/>
        <v>97.598618822347547</v>
      </c>
      <c r="H32">
        <f t="shared" si="2"/>
        <v>95.999999999999972</v>
      </c>
      <c r="I32">
        <f>H32*(1+$AC32/Keys!$C$7^ROUNDUP((I$8-Keys!$C$6)/Keys!$C$8,0))</f>
        <v>95.606891447857663</v>
      </c>
      <c r="J32">
        <f>I32*(1+$AC32/Keys!$C$7^ROUNDUP((J$8-Keys!$C$6)/Keys!$C$8,0))</f>
        <v>95.215392628358771</v>
      </c>
      <c r="K32">
        <f>J32*(1+$AC32/Keys!$C$7^ROUNDUP((K$8-Keys!$C$6)/Keys!$C$8,0))</f>
        <v>94.825496949840073</v>
      </c>
      <c r="L32">
        <f>K32*(1+$AC32/Keys!$C$7^ROUNDUP((L$8-Keys!$C$6)/Keys!$C$8,0))</f>
        <v>94.437197847630429</v>
      </c>
      <c r="M32">
        <f>L32*(1+$AC32/Keys!$C$7^ROUNDUP((M$8-Keys!$C$6)/Keys!$C$8,0))</f>
        <v>94.050488783940239</v>
      </c>
      <c r="N32">
        <f>M32*(1+$AC32/Keys!$C$7^ROUNDUP((N$8-Keys!$C$6)/Keys!$C$8,0))</f>
        <v>93.954207399893022</v>
      </c>
      <c r="O32">
        <f>N32*(1+$AC32/Keys!$C$7^ROUNDUP((O$8-Keys!$C$6)/Keys!$C$8,0))</f>
        <v>93.858024581042372</v>
      </c>
      <c r="P32">
        <f>O32*(1+$AC32/Keys!$C$7^ROUNDUP((P$8-Keys!$C$6)/Keys!$C$8,0))</f>
        <v>93.761940226485109</v>
      </c>
      <c r="Q32">
        <f>P32*(1+$AC32/Keys!$C$7^ROUNDUP((Q$8-Keys!$C$6)/Keys!$C$8,0))</f>
        <v>93.665954235421339</v>
      </c>
      <c r="R32">
        <f>Q32*(1+$AC32/Keys!$C$7^ROUNDUP((R$8-Keys!$C$6)/Keys!$C$8,0))</f>
        <v>93.57006650715438</v>
      </c>
      <c r="S32">
        <f>R32*(1+$AC32/Keys!$C$7^ROUNDUP((S$8-Keys!$C$6)/Keys!$C$8,0))</f>
        <v>93.546119115638433</v>
      </c>
      <c r="T32">
        <f>S32*(1+$AC32/Keys!$C$7^ROUNDUP((T$8-Keys!$C$6)/Keys!$C$8,0))</f>
        <v>93.522177852979524</v>
      </c>
      <c r="U32">
        <f>T32*(1+$AC32/Keys!$C$7^ROUNDUP((U$8-Keys!$C$6)/Keys!$C$8,0))</f>
        <v>93.498242717609088</v>
      </c>
      <c r="V32">
        <f>U32*(1+$AC32/Keys!$C$7^ROUNDUP((V$8-Keys!$C$6)/Keys!$C$8,0))</f>
        <v>93.47431370795897</v>
      </c>
      <c r="W32">
        <f>V32*(1+$AC32/Keys!$C$7^ROUNDUP((W$8-Keys!$C$6)/Keys!$C$8,0))</f>
        <v>93.450390822461415</v>
      </c>
      <c r="X32">
        <f>W32*(1+$AC32/Keys!$C$7^ROUNDUP((X$8-Keys!$C$6)/Keys!$C$8,0))</f>
        <v>93.444411631733331</v>
      </c>
      <c r="Y32">
        <f>X32*(1+$AC32/Keys!$C$7^ROUNDUP((Y$8-Keys!$C$6)/Keys!$C$8,0))</f>
        <v>93.438432823568888</v>
      </c>
      <c r="Z32">
        <f>Y32*(1+$AC32/Keys!$C$7^ROUNDUP((Z$8-Keys!$C$6)/Keys!$C$8,0))</f>
        <v>93.432454397943616</v>
      </c>
      <c r="AA32">
        <f>Z32*(1+$AC32/Keys!$C$7^ROUNDUP((AA$8-Keys!$C$6)/Keys!$C$8,0))</f>
        <v>93.426476354833028</v>
      </c>
      <c r="AB32">
        <f>AA32*(1+$AC32/Keys!$C$7^ROUNDUP((AB$8-Keys!$C$6)/Keys!$C$8,0))</f>
        <v>93.420498694212654</v>
      </c>
      <c r="AC32">
        <f>IFERROR((EPRI_PI2026!$H$27/EPRI_PI2026!$F$27)^(1/6)-1,0)</f>
        <v>-1.6379523005929375E-2</v>
      </c>
    </row>
    <row r="33" spans="1:29" x14ac:dyDescent="0.45">
      <c r="A33" t="s">
        <v>73</v>
      </c>
      <c r="B33">
        <f>IFERROR(EPRI_PI2026!$F$28,0)</f>
        <v>1021</v>
      </c>
      <c r="C33">
        <f t="shared" si="2"/>
        <v>1042.6523945646677</v>
      </c>
      <c r="D33">
        <f t="shared" si="2"/>
        <v>1064.7639724695746</v>
      </c>
      <c r="E33">
        <f t="shared" si="2"/>
        <v>1087.3444716372085</v>
      </c>
      <c r="F33">
        <f t="shared" si="2"/>
        <v>1110.4038365026336</v>
      </c>
      <c r="G33">
        <f t="shared" si="2"/>
        <v>1133.9522223930114</v>
      </c>
      <c r="H33">
        <f t="shared" si="2"/>
        <v>1158</v>
      </c>
      <c r="I33">
        <f>H33*(1+$AC33/Keys!$C$7^ROUNDUP((I$8-Keys!$C$6)/Keys!$C$8,0))</f>
        <v>1164.1394399867497</v>
      </c>
      <c r="J33">
        <f>I33*(1+$AC33/Keys!$C$7^ROUNDUP((J$8-Keys!$C$6)/Keys!$C$8,0))</f>
        <v>1170.3114298209528</v>
      </c>
      <c r="K33">
        <f>J33*(1+$AC33/Keys!$C$7^ROUNDUP((K$8-Keys!$C$6)/Keys!$C$8,0))</f>
        <v>1176.516142074142</v>
      </c>
      <c r="L33">
        <f>K33*(1+$AC33/Keys!$C$7^ROUNDUP((L$8-Keys!$C$6)/Keys!$C$8,0))</f>
        <v>1182.7537502327832</v>
      </c>
      <c r="M33">
        <f>L33*(1+$AC33/Keys!$C$7^ROUNDUP((M$8-Keys!$C$6)/Keys!$C$8,0))</f>
        <v>1189.0244287031262</v>
      </c>
      <c r="N33">
        <f>M33*(1+$AC33/Keys!$C$7^ROUNDUP((N$8-Keys!$C$6)/Keys!$C$8,0))</f>
        <v>1190.6004097313651</v>
      </c>
      <c r="O33">
        <f>N33*(1+$AC33/Keys!$C$7^ROUNDUP((O$8-Keys!$C$6)/Keys!$C$8,0))</f>
        <v>1192.1784796285467</v>
      </c>
      <c r="P33">
        <f>O33*(1+$AC33/Keys!$C$7^ROUNDUP((P$8-Keys!$C$6)/Keys!$C$8,0))</f>
        <v>1193.7586411633424</v>
      </c>
      <c r="Q33">
        <f>P33*(1+$AC33/Keys!$C$7^ROUNDUP((Q$8-Keys!$C$6)/Keys!$C$8,0))</f>
        <v>1195.3408971080933</v>
      </c>
      <c r="R33">
        <f>Q33*(1+$AC33/Keys!$C$7^ROUNDUP((R$8-Keys!$C$6)/Keys!$C$8,0))</f>
        <v>1196.9252502388149</v>
      </c>
      <c r="S33">
        <f>R33*(1+$AC33/Keys!$C$7^ROUNDUP((S$8-Keys!$C$6)/Keys!$C$8,0))</f>
        <v>1197.3218635129117</v>
      </c>
      <c r="T33">
        <f>S33*(1+$AC33/Keys!$C$7^ROUNDUP((T$8-Keys!$C$6)/Keys!$C$8,0))</f>
        <v>1197.718608208824</v>
      </c>
      <c r="U33">
        <f>T33*(1+$AC33/Keys!$C$7^ROUNDUP((U$8-Keys!$C$6)/Keys!$C$8,0))</f>
        <v>1198.1154843700995</v>
      </c>
      <c r="V33">
        <f>U33*(1+$AC33/Keys!$C$7^ROUNDUP((V$8-Keys!$C$6)/Keys!$C$8,0))</f>
        <v>1198.5124920403005</v>
      </c>
      <c r="W33">
        <f>V33*(1+$AC33/Keys!$C$7^ROUNDUP((W$8-Keys!$C$6)/Keys!$C$8,0))</f>
        <v>1198.909631263004</v>
      </c>
      <c r="X33">
        <f>W33*(1+$AC33/Keys!$C$7^ROUNDUP((X$8-Keys!$C$6)/Keys!$C$8,0))</f>
        <v>1199.0089489677034</v>
      </c>
      <c r="Y33">
        <f>X33*(1+$AC33/Keys!$C$7^ROUNDUP((Y$8-Keys!$C$6)/Keys!$C$8,0))</f>
        <v>1199.108274899884</v>
      </c>
      <c r="Z33">
        <f>Y33*(1+$AC33/Keys!$C$7^ROUNDUP((Z$8-Keys!$C$6)/Keys!$C$8,0))</f>
        <v>1199.2076090602275</v>
      </c>
      <c r="AA33">
        <f>Z33*(1+$AC33/Keys!$C$7^ROUNDUP((AA$8-Keys!$C$6)/Keys!$C$8,0))</f>
        <v>1199.3069514494152</v>
      </c>
      <c r="AB33">
        <f>AA33*(1+$AC33/Keys!$C$7^ROUNDUP((AB$8-Keys!$C$6)/Keys!$C$8,0))</f>
        <v>1199.406302068129</v>
      </c>
      <c r="AC33">
        <f>IFERROR((EPRI_PI2026!$H$28/EPRI_PI2026!$F$28)^(1/6)-1,0)</f>
        <v>2.1207046586354306E-2</v>
      </c>
    </row>
    <row r="34" spans="1:29" x14ac:dyDescent="0.45">
      <c r="A34" t="s">
        <v>75</v>
      </c>
      <c r="B34">
        <f>IFERROR(EPRI_PI2026!$F$29,0)</f>
        <v>866</v>
      </c>
      <c r="C34">
        <f t="shared" si="2"/>
        <v>922.82238124921685</v>
      </c>
      <c r="D34">
        <f t="shared" si="2"/>
        <v>983.37314934696872</v>
      </c>
      <c r="E34">
        <f t="shared" si="2"/>
        <v>1047.8969414975884</v>
      </c>
      <c r="F34">
        <f t="shared" si="2"/>
        <v>1116.6544467166002</v>
      </c>
      <c r="G34">
        <f t="shared" si="2"/>
        <v>1189.9234590664432</v>
      </c>
      <c r="H34">
        <f t="shared" si="2"/>
        <v>1268.0000000000002</v>
      </c>
      <c r="I34">
        <f>H34*(1+$AC34/Keys!$C$7^ROUNDUP((I$8-Keys!$C$6)/Keys!$C$8,0))</f>
        <v>1288.7998785866073</v>
      </c>
      <c r="J34">
        <f>I34*(1+$AC34/Keys!$C$7^ROUNDUP((J$8-Keys!$C$6)/Keys!$C$8,0))</f>
        <v>1309.9409519281178</v>
      </c>
      <c r="K34">
        <f>J34*(1+$AC34/Keys!$C$7^ROUNDUP((K$8-Keys!$C$6)/Keys!$C$8,0))</f>
        <v>1331.4288168774312</v>
      </c>
      <c r="L34">
        <f>K34*(1+$AC34/Keys!$C$7^ROUNDUP((L$8-Keys!$C$6)/Keys!$C$8,0))</f>
        <v>1353.2691620964854</v>
      </c>
      <c r="M34">
        <f>L34*(1+$AC34/Keys!$C$7^ROUNDUP((M$8-Keys!$C$6)/Keys!$C$8,0))</f>
        <v>1375.4677695622634</v>
      </c>
      <c r="N34">
        <f>M34*(1+$AC34/Keys!$C$7^ROUNDUP((N$8-Keys!$C$6)/Keys!$C$8,0))</f>
        <v>1381.1084561960736</v>
      </c>
      <c r="O34">
        <f>N34*(1+$AC34/Keys!$C$7^ROUNDUP((O$8-Keys!$C$6)/Keys!$C$8,0))</f>
        <v>1386.7722748482452</v>
      </c>
      <c r="P34">
        <f>O34*(1+$AC34/Keys!$C$7^ROUNDUP((P$8-Keys!$C$6)/Keys!$C$8,0))</f>
        <v>1392.4593203813911</v>
      </c>
      <c r="Q34">
        <f>P34*(1+$AC34/Keys!$C$7^ROUNDUP((Q$8-Keys!$C$6)/Keys!$C$8,0))</f>
        <v>1398.1696880471484</v>
      </c>
      <c r="R34">
        <f>Q34*(1+$AC34/Keys!$C$7^ROUNDUP((R$8-Keys!$C$6)/Keys!$C$8,0))</f>
        <v>1403.9034734877741</v>
      </c>
      <c r="S34">
        <f>R34*(1+$AC34/Keys!$C$7^ROUNDUP((S$8-Keys!$C$6)/Keys!$C$8,0))</f>
        <v>1405.3427983002673</v>
      </c>
      <c r="T34">
        <f>S34*(1+$AC34/Keys!$C$7^ROUNDUP((T$8-Keys!$C$6)/Keys!$C$8,0))</f>
        <v>1406.7835987526139</v>
      </c>
      <c r="U34">
        <f>T34*(1+$AC34/Keys!$C$7^ROUNDUP((U$8-Keys!$C$6)/Keys!$C$8,0))</f>
        <v>1408.2258763576851</v>
      </c>
      <c r="V34">
        <f>U34*(1+$AC34/Keys!$C$7^ROUNDUP((V$8-Keys!$C$6)/Keys!$C$8,0))</f>
        <v>1409.6696326299032</v>
      </c>
      <c r="W34">
        <f>V34*(1+$AC34/Keys!$C$7^ROUNDUP((W$8-Keys!$C$6)/Keys!$C$8,0))</f>
        <v>1411.1148690852426</v>
      </c>
      <c r="X34">
        <f>W34*(1+$AC34/Keys!$C$7^ROUNDUP((X$8-Keys!$C$6)/Keys!$C$8,0))</f>
        <v>1411.4765486242402</v>
      </c>
      <c r="Y34">
        <f>X34*(1+$AC34/Keys!$C$7^ROUNDUP((Y$8-Keys!$C$6)/Keys!$C$8,0))</f>
        <v>1411.8383208644714</v>
      </c>
      <c r="Z34">
        <f>Y34*(1+$AC34/Keys!$C$7^ROUNDUP((Z$8-Keys!$C$6)/Keys!$C$8,0))</f>
        <v>1412.200185829696</v>
      </c>
      <c r="AA34">
        <f>Z34*(1+$AC34/Keys!$C$7^ROUNDUP((AA$8-Keys!$C$6)/Keys!$C$8,0))</f>
        <v>1412.5621435436801</v>
      </c>
      <c r="AB34">
        <f>AA34*(1+$AC34/Keys!$C$7^ROUNDUP((AB$8-Keys!$C$6)/Keys!$C$8,0))</f>
        <v>1412.9241940301961</v>
      </c>
      <c r="AC34">
        <f>IFERROR((EPRI_PI2026!$H$29/EPRI_PI2026!$F$29)^(1/6)-1,0)</f>
        <v>6.5614758948287388E-2</v>
      </c>
    </row>
    <row r="35" spans="1:29" x14ac:dyDescent="0.45">
      <c r="A35" t="s">
        <v>77</v>
      </c>
      <c r="B35">
        <f>IFERROR(EPRI_PI2026!$F$30,0)</f>
        <v>4</v>
      </c>
      <c r="C35">
        <f t="shared" si="2"/>
        <v>3.8127371719877465</v>
      </c>
      <c r="D35">
        <f t="shared" si="2"/>
        <v>3.6342411856642798</v>
      </c>
      <c r="E35">
        <f t="shared" si="2"/>
        <v>3.4641016151377553</v>
      </c>
      <c r="F35">
        <f t="shared" si="2"/>
        <v>3.3019272488946276</v>
      </c>
      <c r="G35">
        <f t="shared" si="2"/>
        <v>3.1473451902649456</v>
      </c>
      <c r="H35">
        <f t="shared" si="2"/>
        <v>3.0000000000000013</v>
      </c>
      <c r="I35">
        <f>H35*(1+$AC35/Keys!$C$7^ROUNDUP((I$8-Keys!$C$6)/Keys!$C$8,0))</f>
        <v>2.9648882197477038</v>
      </c>
      <c r="J35">
        <f>I35*(1+$AC35/Keys!$C$7^ROUNDUP((J$8-Keys!$C$6)/Keys!$C$8,0))</f>
        <v>2.9301873851995683</v>
      </c>
      <c r="K35">
        <f>J35*(1+$AC35/Keys!$C$7^ROUNDUP((K$8-Keys!$C$6)/Keys!$C$8,0))</f>
        <v>2.8958926866771746</v>
      </c>
      <c r="L35">
        <f>K35*(1+$AC35/Keys!$C$7^ROUNDUP((L$8-Keys!$C$6)/Keys!$C$8,0))</f>
        <v>2.8619993707942264</v>
      </c>
      <c r="M35">
        <f>L35*(1+$AC35/Keys!$C$7^ROUNDUP((M$8-Keys!$C$6)/Keys!$C$8,0))</f>
        <v>2.8285027397977127</v>
      </c>
      <c r="N35">
        <f>M35*(1+$AC35/Keys!$C$7^ROUNDUP((N$8-Keys!$C$6)/Keys!$C$8,0))</f>
        <v>2.8202265925774794</v>
      </c>
      <c r="O35">
        <f>N35*(1+$AC35/Keys!$C$7^ROUNDUP((O$8-Keys!$C$6)/Keys!$C$8,0))</f>
        <v>2.8119746612124574</v>
      </c>
      <c r="P35">
        <f>O35*(1+$AC35/Keys!$C$7^ROUNDUP((P$8-Keys!$C$6)/Keys!$C$8,0))</f>
        <v>2.8037468748474974</v>
      </c>
      <c r="Q35">
        <f>P35*(1+$AC35/Keys!$C$7^ROUNDUP((Q$8-Keys!$C$6)/Keys!$C$8,0))</f>
        <v>2.7955431628347718</v>
      </c>
      <c r="R35">
        <f>Q35*(1+$AC35/Keys!$C$7^ROUNDUP((R$8-Keys!$C$6)/Keys!$C$8,0))</f>
        <v>2.7873634547331663</v>
      </c>
      <c r="S35">
        <f>R35*(1+$AC35/Keys!$C$7^ROUNDUP((S$8-Keys!$C$6)/Keys!$C$8,0))</f>
        <v>2.7853245111267939</v>
      </c>
      <c r="T35">
        <f>S35*(1+$AC35/Keys!$C$7^ROUNDUP((T$8-Keys!$C$6)/Keys!$C$8,0))</f>
        <v>2.7832870589983352</v>
      </c>
      <c r="U35">
        <f>T35*(1+$AC35/Keys!$C$7^ROUNDUP((U$8-Keys!$C$6)/Keys!$C$8,0))</f>
        <v>2.7812510972567805</v>
      </c>
      <c r="V35">
        <f>U35*(1+$AC35/Keys!$C$7^ROUNDUP((V$8-Keys!$C$6)/Keys!$C$8,0))</f>
        <v>2.7792166248119194</v>
      </c>
      <c r="W35">
        <f>V35*(1+$AC35/Keys!$C$7^ROUNDUP((W$8-Keys!$C$6)/Keys!$C$8,0))</f>
        <v>2.7771836405743375</v>
      </c>
      <c r="X35">
        <f>W35*(1+$AC35/Keys!$C$7^ROUNDUP((X$8-Keys!$C$6)/Keys!$C$8,0))</f>
        <v>2.7766757662946078</v>
      </c>
      <c r="Y35">
        <f>X35*(1+$AC35/Keys!$C$7^ROUNDUP((Y$8-Keys!$C$6)/Keys!$C$8,0))</f>
        <v>2.7761679848918055</v>
      </c>
      <c r="Z35">
        <f>Y35*(1+$AC35/Keys!$C$7^ROUNDUP((Z$8-Keys!$C$6)/Keys!$C$8,0))</f>
        <v>2.7756602963489461</v>
      </c>
      <c r="AA35">
        <f>Z35*(1+$AC35/Keys!$C$7^ROUNDUP((AA$8-Keys!$C$6)/Keys!$C$8,0))</f>
        <v>2.775152700649048</v>
      </c>
      <c r="AB35">
        <f>AA35*(1+$AC35/Keys!$C$7^ROUNDUP((AB$8-Keys!$C$6)/Keys!$C$8,0))</f>
        <v>2.7746451977751323</v>
      </c>
      <c r="AC35">
        <f>IFERROR((EPRI_PI2026!$H$30/EPRI_PI2026!$F$30)^(1/6)-1,0)</f>
        <v>-4.6815707003063367E-2</v>
      </c>
    </row>
    <row r="36" spans="1:29" x14ac:dyDescent="0.45">
      <c r="A36" t="s">
        <v>79</v>
      </c>
      <c r="B36">
        <f>IFERROR(EPRI_PI2026!$F$31,0)</f>
        <v>547</v>
      </c>
      <c r="C36">
        <f t="shared" si="2"/>
        <v>570.08871164900665</v>
      </c>
      <c r="D36">
        <f t="shared" si="2"/>
        <v>594.15199113276822</v>
      </c>
      <c r="E36">
        <f t="shared" si="2"/>
        <v>619.2309746774622</v>
      </c>
      <c r="F36">
        <f t="shared" si="2"/>
        <v>645.36853485746451</v>
      </c>
      <c r="G36">
        <f t="shared" si="2"/>
        <v>672.60935388610415</v>
      </c>
      <c r="H36">
        <f t="shared" si="2"/>
        <v>700.99999999999977</v>
      </c>
      <c r="I36">
        <f>H36*(1+$AC36/Keys!$C$7^ROUNDUP((I$8-Keys!$C$6)/Keys!$C$8,0))</f>
        <v>708.39725176688887</v>
      </c>
      <c r="J36">
        <f>I36*(1+$AC36/Keys!$C$7^ROUNDUP((J$8-Keys!$C$6)/Keys!$C$8,0))</f>
        <v>715.87256249769064</v>
      </c>
      <c r="K36">
        <f>J36*(1+$AC36/Keys!$C$7^ROUNDUP((K$8-Keys!$C$6)/Keys!$C$8,0))</f>
        <v>723.42675590397243</v>
      </c>
      <c r="L36">
        <f>K36*(1+$AC36/Keys!$C$7^ROUNDUP((L$8-Keys!$C$6)/Keys!$C$8,0))</f>
        <v>731.06066438945822</v>
      </c>
      <c r="M36">
        <f>L36*(1+$AC36/Keys!$C$7^ROUNDUP((M$8-Keys!$C$6)/Keys!$C$8,0))</f>
        <v>738.77512914175225</v>
      </c>
      <c r="N36">
        <f>M36*(1+$AC36/Keys!$C$7^ROUNDUP((N$8-Keys!$C$6)/Keys!$C$8,0))</f>
        <v>740.72409691257178</v>
      </c>
      <c r="O36">
        <f>N36*(1+$AC36/Keys!$C$7^ROUNDUP((O$8-Keys!$C$6)/Keys!$C$8,0))</f>
        <v>742.67820626872879</v>
      </c>
      <c r="P36">
        <f>O36*(1+$AC36/Keys!$C$7^ROUNDUP((P$8-Keys!$C$6)/Keys!$C$8,0))</f>
        <v>744.63747077427502</v>
      </c>
      <c r="Q36">
        <f>P36*(1+$AC36/Keys!$C$7^ROUNDUP((Q$8-Keys!$C$6)/Keys!$C$8,0))</f>
        <v>746.60190402904573</v>
      </c>
      <c r="R36">
        <f>Q36*(1+$AC36/Keys!$C$7^ROUNDUP((R$8-Keys!$C$6)/Keys!$C$8,0))</f>
        <v>748.57151966875392</v>
      </c>
      <c r="S36">
        <f>R36*(1+$AC36/Keys!$C$7^ROUNDUP((S$8-Keys!$C$6)/Keys!$C$8,0))</f>
        <v>749.06522259283668</v>
      </c>
      <c r="T36">
        <f>S36*(1+$AC36/Keys!$C$7^ROUNDUP((T$8-Keys!$C$6)/Keys!$C$8,0))</f>
        <v>749.55925112719297</v>
      </c>
      <c r="U36">
        <f>T36*(1+$AC36/Keys!$C$7^ROUNDUP((U$8-Keys!$C$6)/Keys!$C$8,0))</f>
        <v>750.05360548657143</v>
      </c>
      <c r="V36">
        <f>U36*(1+$AC36/Keys!$C$7^ROUNDUP((V$8-Keys!$C$6)/Keys!$C$8,0))</f>
        <v>750.54828588586236</v>
      </c>
      <c r="W36">
        <f>V36*(1+$AC36/Keys!$C$7^ROUNDUP((W$8-Keys!$C$6)/Keys!$C$8,0))</f>
        <v>751.04329254009781</v>
      </c>
      <c r="X36">
        <f>W36*(1+$AC36/Keys!$C$7^ROUNDUP((X$8-Keys!$C$6)/Keys!$C$8,0))</f>
        <v>751.16712582118623</v>
      </c>
      <c r="Y36">
        <f>X36*(1+$AC36/Keys!$C$7^ROUNDUP((Y$8-Keys!$C$6)/Keys!$C$8,0))</f>
        <v>751.29097952011432</v>
      </c>
      <c r="Z36">
        <f>Y36*(1+$AC36/Keys!$C$7^ROUNDUP((Z$8-Keys!$C$6)/Keys!$C$8,0))</f>
        <v>751.41485364024857</v>
      </c>
      <c r="AA36">
        <f>Z36*(1+$AC36/Keys!$C$7^ROUNDUP((AA$8-Keys!$C$6)/Keys!$C$8,0))</f>
        <v>751.53874818495603</v>
      </c>
      <c r="AB36">
        <f>AA36*(1+$AC36/Keys!$C$7^ROUNDUP((AB$8-Keys!$C$6)/Keys!$C$8,0))</f>
        <v>751.66266315760436</v>
      </c>
      <c r="AC36">
        <f>IFERROR((EPRI_PI2026!$H$31/EPRI_PI2026!$F$31)^(1/6)-1,0)</f>
        <v>4.2209710510066945E-2</v>
      </c>
    </row>
    <row r="37" spans="1:29" x14ac:dyDescent="0.45">
      <c r="A37" t="s">
        <v>81</v>
      </c>
      <c r="B37">
        <f>IFERROR(EPRI_PI2026!$F$32,0)</f>
        <v>393</v>
      </c>
      <c r="C37">
        <f t="shared" si="2"/>
        <v>391.65521490372532</v>
      </c>
      <c r="D37">
        <f t="shared" si="2"/>
        <v>390.31503145364701</v>
      </c>
      <c r="E37">
        <f t="shared" si="2"/>
        <v>388.97943390364486</v>
      </c>
      <c r="F37">
        <f t="shared" si="2"/>
        <v>387.64840656147953</v>
      </c>
      <c r="G37">
        <f t="shared" si="2"/>
        <v>386.32193378860802</v>
      </c>
      <c r="H37">
        <f t="shared" si="2"/>
        <v>385.00000000000006</v>
      </c>
      <c r="I37">
        <f>H37*(1+$AC37/Keys!$C$7^ROUNDUP((I$8-Keys!$C$6)/Keys!$C$8,0))</f>
        <v>384.67064741598875</v>
      </c>
      <c r="J37">
        <f>I37*(1+$AC37/Keys!$C$7^ROUNDUP((J$8-Keys!$C$6)/Keys!$C$8,0))</f>
        <v>384.34157658035303</v>
      </c>
      <c r="K37">
        <f>J37*(1+$AC37/Keys!$C$7^ROUNDUP((K$8-Keys!$C$6)/Keys!$C$8,0))</f>
        <v>384.01278725206805</v>
      </c>
      <c r="L37">
        <f>K37*(1+$AC37/Keys!$C$7^ROUNDUP((L$8-Keys!$C$6)/Keys!$C$8,0))</f>
        <v>383.68427919031518</v>
      </c>
      <c r="M37">
        <f>L37*(1+$AC37/Keys!$C$7^ROUNDUP((M$8-Keys!$C$6)/Keys!$C$8,0))</f>
        <v>383.35605215448186</v>
      </c>
      <c r="N37">
        <f>M37*(1+$AC37/Keys!$C$7^ROUNDUP((N$8-Keys!$C$6)/Keys!$C$8,0))</f>
        <v>383.27406559190172</v>
      </c>
      <c r="O37">
        <f>N37*(1+$AC37/Keys!$C$7^ROUNDUP((O$8-Keys!$C$6)/Keys!$C$8,0))</f>
        <v>383.19209656340354</v>
      </c>
      <c r="P37">
        <f>O37*(1+$AC37/Keys!$C$7^ROUNDUP((P$8-Keys!$C$6)/Keys!$C$8,0))</f>
        <v>383.11014506523742</v>
      </c>
      <c r="Q37">
        <f>P37*(1+$AC37/Keys!$C$7^ROUNDUP((Q$8-Keys!$C$6)/Keys!$C$8,0))</f>
        <v>383.02821109365419</v>
      </c>
      <c r="R37">
        <f>Q37*(1+$AC37/Keys!$C$7^ROUNDUP((R$8-Keys!$C$6)/Keys!$C$8,0))</f>
        <v>382.94629464490555</v>
      </c>
      <c r="S37">
        <f>R37*(1+$AC37/Keys!$C$7^ROUNDUP((S$8-Keys!$C$6)/Keys!$C$8,0))</f>
        <v>382.92581991249017</v>
      </c>
      <c r="T37">
        <f>S37*(1+$AC37/Keys!$C$7^ROUNDUP((T$8-Keys!$C$6)/Keys!$C$8,0))</f>
        <v>382.90534627478354</v>
      </c>
      <c r="U37">
        <f>T37*(1+$AC37/Keys!$C$7^ROUNDUP((U$8-Keys!$C$6)/Keys!$C$8,0))</f>
        <v>382.88487373172717</v>
      </c>
      <c r="V37">
        <f>U37*(1+$AC37/Keys!$C$7^ROUNDUP((V$8-Keys!$C$6)/Keys!$C$8,0))</f>
        <v>382.86440228326251</v>
      </c>
      <c r="W37">
        <f>V37*(1+$AC37/Keys!$C$7^ROUNDUP((W$8-Keys!$C$6)/Keys!$C$8,0))</f>
        <v>382.84393192933101</v>
      </c>
      <c r="X37">
        <f>W37*(1+$AC37/Keys!$C$7^ROUNDUP((X$8-Keys!$C$6)/Keys!$C$8,0))</f>
        <v>382.8388146144668</v>
      </c>
      <c r="Y37">
        <f>X37*(1+$AC37/Keys!$C$7^ROUNDUP((Y$8-Keys!$C$6)/Keys!$C$8,0))</f>
        <v>382.83369736800358</v>
      </c>
      <c r="Z37">
        <f>Y37*(1+$AC37/Keys!$C$7^ROUNDUP((Z$8-Keys!$C$6)/Keys!$C$8,0))</f>
        <v>382.82858018994045</v>
      </c>
      <c r="AA37">
        <f>Z37*(1+$AC37/Keys!$C$7^ROUNDUP((AA$8-Keys!$C$6)/Keys!$C$8,0))</f>
        <v>382.8234630802765</v>
      </c>
      <c r="AB37">
        <f>AA37*(1+$AC37/Keys!$C$7^ROUNDUP((AB$8-Keys!$C$6)/Keys!$C$8,0))</f>
        <v>382.81834603901081</v>
      </c>
      <c r="AC37">
        <f>IFERROR((EPRI_PI2026!$H$32/EPRI_PI2026!$F$32)^(1/6)-1,0)</f>
        <v>-3.421845028688697E-3</v>
      </c>
    </row>
    <row r="38" spans="1:29" x14ac:dyDescent="0.45">
      <c r="A38" t="s">
        <v>83</v>
      </c>
      <c r="B38">
        <f>IFERROR(EPRI_PI2026!$F$33,0)</f>
        <v>1085</v>
      </c>
      <c r="C38">
        <f t="shared" si="2"/>
        <v>1089.4540383011431</v>
      </c>
      <c r="D38">
        <f t="shared" si="2"/>
        <v>1093.9263608946253</v>
      </c>
      <c r="E38">
        <f t="shared" si="2"/>
        <v>1098.4170428393761</v>
      </c>
      <c r="F38">
        <f t="shared" si="2"/>
        <v>1102.9261595024498</v>
      </c>
      <c r="G38">
        <f t="shared" si="2"/>
        <v>1107.4537865602899</v>
      </c>
      <c r="H38">
        <f t="shared" si="2"/>
        <v>1112</v>
      </c>
      <c r="I38">
        <f>H38*(1+$AC38/Keys!$C$7^ROUNDUP((I$8-Keys!$C$6)/Keys!$C$8,0))</f>
        <v>1113.1412190301548</v>
      </c>
      <c r="J38">
        <f>I38*(1+$AC38/Keys!$C$7^ROUNDUP((J$8-Keys!$C$6)/Keys!$C$8,0))</f>
        <v>1114.2836092661323</v>
      </c>
      <c r="K38">
        <f>J38*(1+$AC38/Keys!$C$7^ROUNDUP((K$8-Keys!$C$6)/Keys!$C$8,0))</f>
        <v>1115.4271719099129</v>
      </c>
      <c r="L38">
        <f>K38*(1+$AC38/Keys!$C$7^ROUNDUP((L$8-Keys!$C$6)/Keys!$C$8,0))</f>
        <v>1116.5719081647107</v>
      </c>
      <c r="M38">
        <f>L38*(1+$AC38/Keys!$C$7^ROUNDUP((M$8-Keys!$C$6)/Keys!$C$8,0))</f>
        <v>1117.717819234975</v>
      </c>
      <c r="N38">
        <f>M38*(1+$AC38/Keys!$C$7^ROUNDUP((N$8-Keys!$C$6)/Keys!$C$8,0))</f>
        <v>1118.0045910078288</v>
      </c>
      <c r="O38">
        <f>N38*(1+$AC38/Keys!$C$7^ROUNDUP((O$8-Keys!$C$6)/Keys!$C$8,0))</f>
        <v>1118.2914363574371</v>
      </c>
      <c r="P38">
        <f>O38*(1+$AC38/Keys!$C$7^ROUNDUP((P$8-Keys!$C$6)/Keys!$C$8,0))</f>
        <v>1118.5783553026777</v>
      </c>
      <c r="Q38">
        <f>P38*(1+$AC38/Keys!$C$7^ROUNDUP((Q$8-Keys!$C$6)/Keys!$C$8,0))</f>
        <v>1118.8653478624326</v>
      </c>
      <c r="R38">
        <f>Q38*(1+$AC38/Keys!$C$7^ROUNDUP((R$8-Keys!$C$6)/Keys!$C$8,0))</f>
        <v>1119.1524140555894</v>
      </c>
      <c r="S38">
        <f>R38*(1+$AC38/Keys!$C$7^ROUNDUP((S$8-Keys!$C$6)/Keys!$C$8,0))</f>
        <v>1119.2241990169521</v>
      </c>
      <c r="T38">
        <f>S38*(1+$AC38/Keys!$C$7^ROUNDUP((T$8-Keys!$C$6)/Keys!$C$8,0))</f>
        <v>1119.2959885827643</v>
      </c>
      <c r="U38">
        <f>T38*(1+$AC38/Keys!$C$7^ROUNDUP((U$8-Keys!$C$6)/Keys!$C$8,0))</f>
        <v>1119.3677827533211</v>
      </c>
      <c r="V38">
        <f>U38*(1+$AC38/Keys!$C$7^ROUNDUP((V$8-Keys!$C$6)/Keys!$C$8,0))</f>
        <v>1119.4395815289181</v>
      </c>
      <c r="W38">
        <f>V38*(1+$AC38/Keys!$C$7^ROUNDUP((W$8-Keys!$C$6)/Keys!$C$8,0))</f>
        <v>1119.5113849098507</v>
      </c>
      <c r="X38">
        <f>W38*(1+$AC38/Keys!$C$7^ROUNDUP((X$8-Keys!$C$6)/Keys!$C$8,0))</f>
        <v>1119.5293369064916</v>
      </c>
      <c r="Y38">
        <f>X38*(1+$AC38/Keys!$C$7^ROUNDUP((Y$8-Keys!$C$6)/Keys!$C$8,0))</f>
        <v>1119.5472891910028</v>
      </c>
      <c r="Z38">
        <f>Y38*(1+$AC38/Keys!$C$7^ROUNDUP((Z$8-Keys!$C$6)/Keys!$C$8,0))</f>
        <v>1119.5652417633892</v>
      </c>
      <c r="AA38">
        <f>Z38*(1+$AC38/Keys!$C$7^ROUNDUP((AA$8-Keys!$C$6)/Keys!$C$8,0))</f>
        <v>1119.5831946236551</v>
      </c>
      <c r="AB38">
        <f>AA38*(1+$AC38/Keys!$C$7^ROUNDUP((AB$8-Keys!$C$6)/Keys!$C$8,0))</f>
        <v>1119.6011477718052</v>
      </c>
      <c r="AC38">
        <f>IFERROR((EPRI_PI2026!$H$33/EPRI_PI2026!$F$33)^(1/6)-1,0)</f>
        <v>4.1051044250166591E-3</v>
      </c>
    </row>
    <row r="39" spans="1:29" x14ac:dyDescent="0.45">
      <c r="A39" t="s">
        <v>85</v>
      </c>
      <c r="B39">
        <f>IFERROR(EPRI_PI2026!$F$34,0)</f>
        <v>746</v>
      </c>
      <c r="C39">
        <f t="shared" ref="C39:H48" si="3">B39*(1+$AC39)</f>
        <v>795.39730517414944</v>
      </c>
      <c r="D39">
        <f t="shared" si="3"/>
        <v>848.06551350978418</v>
      </c>
      <c r="E39">
        <f t="shared" si="3"/>
        <v>904.2212118724043</v>
      </c>
      <c r="F39">
        <f t="shared" si="3"/>
        <v>964.09532869251211</v>
      </c>
      <c r="G39">
        <f t="shared" si="3"/>
        <v>1027.9340836099329</v>
      </c>
      <c r="H39">
        <f t="shared" si="3"/>
        <v>1095.9999999999993</v>
      </c>
      <c r="I39">
        <f>H39*(1+$AC39/Keys!$C$7^ROUNDUP((I$8-Keys!$C$6)/Keys!$C$8,0))</f>
        <v>1114.1432461363493</v>
      </c>
      <c r="J39">
        <f>I39*(1+$AC39/Keys!$C$7^ROUNDUP((J$8-Keys!$C$6)/Keys!$C$8,0))</f>
        <v>1132.586836597849</v>
      </c>
      <c r="K39">
        <f>J39*(1+$AC39/Keys!$C$7^ROUNDUP((K$8-Keys!$C$6)/Keys!$C$8,0))</f>
        <v>1151.3357433014846</v>
      </c>
      <c r="L39">
        <f>K39*(1+$AC39/Keys!$C$7^ROUNDUP((L$8-Keys!$C$6)/Keys!$C$8,0))</f>
        <v>1170.395020469638</v>
      </c>
      <c r="M39">
        <f>L39*(1+$AC39/Keys!$C$7^ROUNDUP((M$8-Keys!$C$6)/Keys!$C$8,0))</f>
        <v>1189.7698059925749</v>
      </c>
      <c r="N39">
        <f>M39*(1+$AC39/Keys!$C$7^ROUNDUP((N$8-Keys!$C$6)/Keys!$C$8,0))</f>
        <v>1194.693685197803</v>
      </c>
      <c r="O39">
        <f>N39*(1+$AC39/Keys!$C$7^ROUNDUP((O$8-Keys!$C$6)/Keys!$C$8,0))</f>
        <v>1199.6379419469101</v>
      </c>
      <c r="P39">
        <f>O39*(1+$AC39/Keys!$C$7^ROUNDUP((P$8-Keys!$C$6)/Keys!$C$8,0))</f>
        <v>1204.6026605726506</v>
      </c>
      <c r="Q39">
        <f>P39*(1+$AC39/Keys!$C$7^ROUNDUP((Q$8-Keys!$C$6)/Keys!$C$8,0))</f>
        <v>1209.5879257567908</v>
      </c>
      <c r="R39">
        <f>Q39*(1+$AC39/Keys!$C$7^ROUNDUP((R$8-Keys!$C$6)/Keys!$C$8,0))</f>
        <v>1214.593822531554</v>
      </c>
      <c r="S39">
        <f>R39*(1+$AC39/Keys!$C$7^ROUNDUP((S$8-Keys!$C$6)/Keys!$C$8,0))</f>
        <v>1215.8504759689331</v>
      </c>
      <c r="T39">
        <f>S39*(1+$AC39/Keys!$C$7^ROUNDUP((T$8-Keys!$C$6)/Keys!$C$8,0))</f>
        <v>1217.1084295758276</v>
      </c>
      <c r="U39">
        <f>T39*(1+$AC39/Keys!$C$7^ROUNDUP((U$8-Keys!$C$6)/Keys!$C$8,0))</f>
        <v>1218.3676846974299</v>
      </c>
      <c r="V39">
        <f>U39*(1+$AC39/Keys!$C$7^ROUNDUP((V$8-Keys!$C$6)/Keys!$C$8,0))</f>
        <v>1219.6282426803245</v>
      </c>
      <c r="W39">
        <f>V39*(1+$AC39/Keys!$C$7^ROUNDUP((W$8-Keys!$C$6)/Keys!$C$8,0))</f>
        <v>1220.8901048724888</v>
      </c>
      <c r="X39">
        <f>W39*(1+$AC39/Keys!$C$7^ROUNDUP((X$8-Keys!$C$6)/Keys!$C$8,0))</f>
        <v>1221.2058968101903</v>
      </c>
      <c r="Y39">
        <f>X39*(1+$AC39/Keys!$C$7^ROUNDUP((Y$8-Keys!$C$6)/Keys!$C$8,0))</f>
        <v>1221.5217704297299</v>
      </c>
      <c r="Z39">
        <f>Y39*(1+$AC39/Keys!$C$7^ROUNDUP((Z$8-Keys!$C$6)/Keys!$C$8,0))</f>
        <v>1221.8377257522352</v>
      </c>
      <c r="AA39">
        <f>Z39*(1+$AC39/Keys!$C$7^ROUNDUP((AA$8-Keys!$C$6)/Keys!$C$8,0))</f>
        <v>1222.1537627988394</v>
      </c>
      <c r="AB39">
        <f>AA39*(1+$AC39/Keys!$C$7^ROUNDUP((AB$8-Keys!$C$6)/Keys!$C$8,0))</f>
        <v>1222.4698815906809</v>
      </c>
      <c r="AC39">
        <f>IFERROR((EPRI_PI2026!$H$34/EPRI_PI2026!$F$34)^(1/6)-1,0)</f>
        <v>6.6216226774999276E-2</v>
      </c>
    </row>
    <row r="40" spans="1:29" x14ac:dyDescent="0.45">
      <c r="A40" t="s">
        <v>87</v>
      </c>
      <c r="B40">
        <f>IFERROR(EPRI_PI2026!$F$35,0)</f>
        <v>640</v>
      </c>
      <c r="C40">
        <f t="shared" si="3"/>
        <v>654.04038629564286</v>
      </c>
      <c r="D40">
        <f t="shared" si="3"/>
        <v>668.38879204024022</v>
      </c>
      <c r="E40">
        <f t="shared" si="3"/>
        <v>683.05197459636997</v>
      </c>
      <c r="F40">
        <f t="shared" si="3"/>
        <v>698.03683957033036</v>
      </c>
      <c r="G40">
        <f t="shared" si="3"/>
        <v>713.35044406432587</v>
      </c>
      <c r="H40">
        <f t="shared" si="3"/>
        <v>729.00000000000011</v>
      </c>
      <c r="I40">
        <f>H40*(1+$AC40/Keys!$C$7^ROUNDUP((I$8-Keys!$C$6)/Keys!$C$8,0))</f>
        <v>732.99821937872036</v>
      </c>
      <c r="J40">
        <f>I40*(1+$AC40/Keys!$C$7^ROUNDUP((J$8-Keys!$C$6)/Keys!$C$8,0))</f>
        <v>737.01836709516397</v>
      </c>
      <c r="K40">
        <f>J40*(1+$AC40/Keys!$C$7^ROUNDUP((K$8-Keys!$C$6)/Keys!$C$8,0))</f>
        <v>741.06056341586714</v>
      </c>
      <c r="L40">
        <f>K40*(1+$AC40/Keys!$C$7^ROUNDUP((L$8-Keys!$C$6)/Keys!$C$8,0))</f>
        <v>745.12492926697087</v>
      </c>
      <c r="M40">
        <f>L40*(1+$AC40/Keys!$C$7^ROUNDUP((M$8-Keys!$C$6)/Keys!$C$8,0))</f>
        <v>749.21158623783879</v>
      </c>
      <c r="N40">
        <f>M40*(1+$AC40/Keys!$C$7^ROUNDUP((N$8-Keys!$C$6)/Keys!$C$8,0))</f>
        <v>750.23885382455262</v>
      </c>
      <c r="O40">
        <f>N40*(1+$AC40/Keys!$C$7^ROUNDUP((O$8-Keys!$C$6)/Keys!$C$8,0))</f>
        <v>751.26752993018704</v>
      </c>
      <c r="P40">
        <f>O40*(1+$AC40/Keys!$C$7^ROUNDUP((P$8-Keys!$C$6)/Keys!$C$8,0))</f>
        <v>752.29761648600663</v>
      </c>
      <c r="Q40">
        <f>P40*(1+$AC40/Keys!$C$7^ROUNDUP((Q$8-Keys!$C$6)/Keys!$C$8,0))</f>
        <v>753.32911542592399</v>
      </c>
      <c r="R40">
        <f>Q40*(1+$AC40/Keys!$C$7^ROUNDUP((R$8-Keys!$C$6)/Keys!$C$8,0))</f>
        <v>754.36202868650344</v>
      </c>
      <c r="S40">
        <f>R40*(1+$AC40/Keys!$C$7^ROUNDUP((S$8-Keys!$C$6)/Keys!$C$8,0))</f>
        <v>754.62061106661884</v>
      </c>
      <c r="T40">
        <f>S40*(1+$AC40/Keys!$C$7^ROUNDUP((T$8-Keys!$C$6)/Keys!$C$8,0))</f>
        <v>754.87928208434425</v>
      </c>
      <c r="U40">
        <f>T40*(1+$AC40/Keys!$C$7^ROUNDUP((U$8-Keys!$C$6)/Keys!$C$8,0))</f>
        <v>755.13804177006307</v>
      </c>
      <c r="V40">
        <f>U40*(1+$AC40/Keys!$C$7^ROUNDUP((V$8-Keys!$C$6)/Keys!$C$8,0))</f>
        <v>755.39689015416923</v>
      </c>
      <c r="W40">
        <f>V40*(1+$AC40/Keys!$C$7^ROUNDUP((W$8-Keys!$C$6)/Keys!$C$8,0))</f>
        <v>755.65582726706702</v>
      </c>
      <c r="X40">
        <f>W40*(1+$AC40/Keys!$C$7^ROUNDUP((X$8-Keys!$C$6)/Keys!$C$8,0))</f>
        <v>755.72058373509299</v>
      </c>
      <c r="Y40">
        <f>X40*(1+$AC40/Keys!$C$7^ROUNDUP((Y$8-Keys!$C$6)/Keys!$C$8,0))</f>
        <v>755.7853457524709</v>
      </c>
      <c r="Z40">
        <f>Y40*(1+$AC40/Keys!$C$7^ROUNDUP((Z$8-Keys!$C$6)/Keys!$C$8,0))</f>
        <v>755.85011331967644</v>
      </c>
      <c r="AA40">
        <f>Z40*(1+$AC40/Keys!$C$7^ROUNDUP((AA$8-Keys!$C$6)/Keys!$C$8,0))</f>
        <v>755.91488643718503</v>
      </c>
      <c r="AB40">
        <f>AA40*(1+$AC40/Keys!$C$7^ROUNDUP((AB$8-Keys!$C$6)/Keys!$C$8,0))</f>
        <v>755.97966510547235</v>
      </c>
      <c r="AC40">
        <f>IFERROR((EPRI_PI2026!$H$35/EPRI_PI2026!$F$35)^(1/6)-1,0)</f>
        <v>2.1938103586941926E-2</v>
      </c>
    </row>
    <row r="41" spans="1:29" x14ac:dyDescent="0.45">
      <c r="A41" t="s">
        <v>89</v>
      </c>
      <c r="B41">
        <f>IFERROR(EPRI_PI2026!$F$36,0)</f>
        <v>2104</v>
      </c>
      <c r="C41">
        <f t="shared" si="3"/>
        <v>2261.9037277522316</v>
      </c>
      <c r="D41">
        <f t="shared" si="3"/>
        <v>2431.6580197811031</v>
      </c>
      <c r="E41">
        <f t="shared" si="3"/>
        <v>2614.1522526432923</v>
      </c>
      <c r="F41">
        <f t="shared" si="3"/>
        <v>2810.3425499837244</v>
      </c>
      <c r="G41">
        <f t="shared" si="3"/>
        <v>3021.2567918578416</v>
      </c>
      <c r="H41">
        <f t="shared" si="3"/>
        <v>3248</v>
      </c>
      <c r="I41">
        <f>H41*(1+$AC41/Keys!$C$7^ROUNDUP((I$8-Keys!$C$6)/Keys!$C$8,0))</f>
        <v>3308.9400318131234</v>
      </c>
      <c r="J41">
        <f>I41*(1+$AC41/Keys!$C$7^ROUNDUP((J$8-Keys!$C$6)/Keys!$C$8,0))</f>
        <v>3371.0234403126337</v>
      </c>
      <c r="K41">
        <f>J41*(1+$AC41/Keys!$C$7^ROUNDUP((K$8-Keys!$C$6)/Keys!$C$8,0))</f>
        <v>3434.2716779035932</v>
      </c>
      <c r="L41">
        <f>K41*(1+$AC41/Keys!$C$7^ROUNDUP((L$8-Keys!$C$6)/Keys!$C$8,0))</f>
        <v>3498.7065994880618</v>
      </c>
      <c r="M41">
        <f>L41*(1+$AC41/Keys!$C$7^ROUNDUP((M$8-Keys!$C$6)/Keys!$C$8,0))</f>
        <v>3564.3504700168755</v>
      </c>
      <c r="N41">
        <f>M41*(1+$AC41/Keys!$C$7^ROUNDUP((N$8-Keys!$C$6)/Keys!$C$8,0))</f>
        <v>3581.0693455584355</v>
      </c>
      <c r="O41">
        <f>N41*(1+$AC41/Keys!$C$7^ROUNDUP((O$8-Keys!$C$6)/Keys!$C$8,0))</f>
        <v>3597.8666423444065</v>
      </c>
      <c r="P41">
        <f>O41*(1+$AC41/Keys!$C$7^ROUNDUP((P$8-Keys!$C$6)/Keys!$C$8,0))</f>
        <v>3614.7427282160079</v>
      </c>
      <c r="Q41">
        <f>P41*(1+$AC41/Keys!$C$7^ROUNDUP((Q$8-Keys!$C$6)/Keys!$C$8,0))</f>
        <v>3631.6979727398489</v>
      </c>
      <c r="R41">
        <f>Q41*(1+$AC41/Keys!$C$7^ROUNDUP((R$8-Keys!$C$6)/Keys!$C$8,0))</f>
        <v>3648.7327472160205</v>
      </c>
      <c r="S41">
        <f>R41*(1+$AC41/Keys!$C$7^ROUNDUP((S$8-Keys!$C$6)/Keys!$C$8,0))</f>
        <v>3653.0114165835721</v>
      </c>
      <c r="T41">
        <f>S41*(1+$AC41/Keys!$C$7^ROUNDUP((T$8-Keys!$C$6)/Keys!$C$8,0))</f>
        <v>3657.2951033127188</v>
      </c>
      <c r="U41">
        <f>T41*(1+$AC41/Keys!$C$7^ROUNDUP((U$8-Keys!$C$6)/Keys!$C$8,0))</f>
        <v>3661.5838132870463</v>
      </c>
      <c r="V41">
        <f>U41*(1+$AC41/Keys!$C$7^ROUNDUP((V$8-Keys!$C$6)/Keys!$C$8,0))</f>
        <v>3665.8775523970394</v>
      </c>
      <c r="W41">
        <f>V41*(1+$AC41/Keys!$C$7^ROUNDUP((W$8-Keys!$C$6)/Keys!$C$8,0))</f>
        <v>3670.1763265400905</v>
      </c>
      <c r="X41">
        <f>W41*(1+$AC41/Keys!$C$7^ROUNDUP((X$8-Keys!$C$6)/Keys!$C$8,0))</f>
        <v>3671.2522803101951</v>
      </c>
      <c r="Y41">
        <f>X41*(1+$AC41/Keys!$C$7^ROUNDUP((Y$8-Keys!$C$6)/Keys!$C$8,0))</f>
        <v>3672.3285495083373</v>
      </c>
      <c r="Z41">
        <f>Y41*(1+$AC41/Keys!$C$7^ROUNDUP((Z$8-Keys!$C$6)/Keys!$C$8,0))</f>
        <v>3673.4051342269881</v>
      </c>
      <c r="AA41">
        <f>Z41*(1+$AC41/Keys!$C$7^ROUNDUP((AA$8-Keys!$C$6)/Keys!$C$8,0))</f>
        <v>3674.4820345586459</v>
      </c>
      <c r="AB41">
        <f>AA41*(1+$AC41/Keys!$C$7^ROUNDUP((AB$8-Keys!$C$6)/Keys!$C$8,0))</f>
        <v>3675.5592505958361</v>
      </c>
      <c r="AC41">
        <f>IFERROR((EPRI_PI2026!$H$36/EPRI_PI2026!$F$36)^(1/6)-1,0)</f>
        <v>7.5049300262467478E-2</v>
      </c>
    </row>
    <row r="42" spans="1:29" x14ac:dyDescent="0.45">
      <c r="A42" t="s">
        <v>91</v>
      </c>
      <c r="B42">
        <f>IFERROR(EPRI_PI2026!$F$37,0)</f>
        <v>745</v>
      </c>
      <c r="C42">
        <f t="shared" si="3"/>
        <v>764.21727066699407</v>
      </c>
      <c r="D42">
        <f t="shared" si="3"/>
        <v>783.93025071907334</v>
      </c>
      <c r="E42">
        <f t="shared" si="3"/>
        <v>804.15172697694311</v>
      </c>
      <c r="F42">
        <f t="shared" si="3"/>
        <v>824.8948160972742</v>
      </c>
      <c r="G42">
        <f t="shared" si="3"/>
        <v>846.17297308081993</v>
      </c>
      <c r="H42">
        <f t="shared" si="3"/>
        <v>868.00000000000011</v>
      </c>
      <c r="I42">
        <f>H42*(1+$AC42/Keys!$C$7^ROUNDUP((I$8-Keys!$C$6)/Keys!$C$8,0))</f>
        <v>873.59751373790311</v>
      </c>
      <c r="J42">
        <f>I42*(1+$AC42/Keys!$C$7^ROUNDUP((J$8-Keys!$C$6)/Keys!$C$8,0))</f>
        <v>879.23112443438447</v>
      </c>
      <c r="K42">
        <f>J42*(1+$AC42/Keys!$C$7^ROUNDUP((K$8-Keys!$C$6)/Keys!$C$8,0))</f>
        <v>884.9010648696534</v>
      </c>
      <c r="L42">
        <f>K42*(1+$AC42/Keys!$C$7^ROUNDUP((L$8-Keys!$C$6)/Keys!$C$8,0))</f>
        <v>890.6075693250599</v>
      </c>
      <c r="M42">
        <f>L42*(1+$AC42/Keys!$C$7^ROUNDUP((M$8-Keys!$C$6)/Keys!$C$8,0))</f>
        <v>896.35087359277588</v>
      </c>
      <c r="N42">
        <f>M42*(1+$AC42/Keys!$C$7^ROUNDUP((N$8-Keys!$C$6)/Keys!$C$8,0))</f>
        <v>897.7959589409661</v>
      </c>
      <c r="O42">
        <f>N42*(1+$AC42/Keys!$C$7^ROUNDUP((O$8-Keys!$C$6)/Keys!$C$8,0))</f>
        <v>899.24337403716584</v>
      </c>
      <c r="P42">
        <f>O42*(1+$AC42/Keys!$C$7^ROUNDUP((P$8-Keys!$C$6)/Keys!$C$8,0))</f>
        <v>900.69312263736481</v>
      </c>
      <c r="Q42">
        <f>P42*(1+$AC42/Keys!$C$7^ROUNDUP((Q$8-Keys!$C$6)/Keys!$C$8,0))</f>
        <v>902.14520850360816</v>
      </c>
      <c r="R42">
        <f>Q42*(1+$AC42/Keys!$C$7^ROUNDUP((R$8-Keys!$C$6)/Keys!$C$8,0))</f>
        <v>903.59963540400622</v>
      </c>
      <c r="S42">
        <f>R42*(1+$AC42/Keys!$C$7^ROUNDUP((S$8-Keys!$C$6)/Keys!$C$8,0))</f>
        <v>903.96382833119071</v>
      </c>
      <c r="T42">
        <f>S42*(1+$AC42/Keys!$C$7^ROUNDUP((T$8-Keys!$C$6)/Keys!$C$8,0))</f>
        <v>904.32816804516324</v>
      </c>
      <c r="U42">
        <f>T42*(1+$AC42/Keys!$C$7^ROUNDUP((U$8-Keys!$C$6)/Keys!$C$8,0))</f>
        <v>904.69265460508586</v>
      </c>
      <c r="V42">
        <f>U42*(1+$AC42/Keys!$C$7^ROUNDUP((V$8-Keys!$C$6)/Keys!$C$8,0))</f>
        <v>905.0572880701443</v>
      </c>
      <c r="W42">
        <f>V42*(1+$AC42/Keys!$C$7^ROUNDUP((W$8-Keys!$C$6)/Keys!$C$8,0))</f>
        <v>905.42206849954823</v>
      </c>
      <c r="X42">
        <f>W42*(1+$AC42/Keys!$C$7^ROUNDUP((X$8-Keys!$C$6)/Keys!$C$8,0))</f>
        <v>905.5133003627941</v>
      </c>
      <c r="Y42">
        <f>X42*(1+$AC42/Keys!$C$7^ROUNDUP((Y$8-Keys!$C$6)/Keys!$C$8,0))</f>
        <v>905.60454141871719</v>
      </c>
      <c r="Z42">
        <f>Y42*(1+$AC42/Keys!$C$7^ROUNDUP((Z$8-Keys!$C$6)/Keys!$C$8,0))</f>
        <v>905.69579166824383</v>
      </c>
      <c r="AA42">
        <f>Z42*(1+$AC42/Keys!$C$7^ROUNDUP((AA$8-Keys!$C$6)/Keys!$C$8,0))</f>
        <v>905.78705111230033</v>
      </c>
      <c r="AB42">
        <f>AA42*(1+$AC42/Keys!$C$7^ROUNDUP((AB$8-Keys!$C$6)/Keys!$C$8,0))</f>
        <v>905.87831975181325</v>
      </c>
      <c r="AC42">
        <f>IFERROR((EPRI_PI2026!$H$37/EPRI_PI2026!$F$37)^(1/6)-1,0)</f>
        <v>2.5794994183884645E-2</v>
      </c>
    </row>
    <row r="43" spans="1:29" x14ac:dyDescent="0.45">
      <c r="A43" t="s">
        <v>93</v>
      </c>
      <c r="B43">
        <f>IFERROR(EPRI_PI2026!$F$38,0)</f>
        <v>2982</v>
      </c>
      <c r="C43">
        <f t="shared" si="3"/>
        <v>2922.2526835975391</v>
      </c>
      <c r="D43">
        <f t="shared" si="3"/>
        <v>2863.7024637132859</v>
      </c>
      <c r="E43">
        <f t="shared" si="3"/>
        <v>2806.3253553356922</v>
      </c>
      <c r="F43">
        <f t="shared" si="3"/>
        <v>2750.0978540166143</v>
      </c>
      <c r="G43">
        <f t="shared" si="3"/>
        <v>2694.9969262427512</v>
      </c>
      <c r="H43">
        <f t="shared" si="3"/>
        <v>2640.9999999999995</v>
      </c>
      <c r="I43">
        <f>H43*(1+$AC43/Keys!$C$7^ROUNDUP((I$8-Keys!$C$6)/Keys!$C$8,0))</f>
        <v>2627.7712388817149</v>
      </c>
      <c r="J43">
        <f>I43*(1+$AC43/Keys!$C$7^ROUNDUP((J$8-Keys!$C$6)/Keys!$C$8,0))</f>
        <v>2614.6087405883923</v>
      </c>
      <c r="K43">
        <f>J43*(1+$AC43/Keys!$C$7^ROUNDUP((K$8-Keys!$C$6)/Keys!$C$8,0))</f>
        <v>2601.5121732097391</v>
      </c>
      <c r="L43">
        <f>K43*(1+$AC43/Keys!$C$7^ROUNDUP((L$8-Keys!$C$6)/Keys!$C$8,0))</f>
        <v>2588.4812064980006</v>
      </c>
      <c r="M43">
        <f>L43*(1+$AC43/Keys!$C$7^ROUNDUP((M$8-Keys!$C$6)/Keys!$C$8,0))</f>
        <v>2575.5155118596322</v>
      </c>
      <c r="N43">
        <f>M43*(1+$AC43/Keys!$C$7^ROUNDUP((N$8-Keys!$C$6)/Keys!$C$8,0))</f>
        <v>2572.290324481477</v>
      </c>
      <c r="O43">
        <f>N43*(1+$AC43/Keys!$C$7^ROUNDUP((O$8-Keys!$C$6)/Keys!$C$8,0))</f>
        <v>2569.0691758418102</v>
      </c>
      <c r="P43">
        <f>O43*(1+$AC43/Keys!$C$7^ROUNDUP((P$8-Keys!$C$6)/Keys!$C$8,0))</f>
        <v>2565.8520608831241</v>
      </c>
      <c r="Q43">
        <f>P43*(1+$AC43/Keys!$C$7^ROUNDUP((Q$8-Keys!$C$6)/Keys!$C$8,0))</f>
        <v>2562.6389745542447</v>
      </c>
      <c r="R43">
        <f>Q43*(1+$AC43/Keys!$C$7^ROUNDUP((R$8-Keys!$C$6)/Keys!$C$8,0))</f>
        <v>2559.4299118103231</v>
      </c>
      <c r="S43">
        <f>R43*(1+$AC43/Keys!$C$7^ROUNDUP((S$8-Keys!$C$6)/Keys!$C$8,0))</f>
        <v>2558.6286507609493</v>
      </c>
      <c r="T43">
        <f>S43*(1+$AC43/Keys!$C$7^ROUNDUP((T$8-Keys!$C$6)/Keys!$C$8,0))</f>
        <v>2557.8276405562133</v>
      </c>
      <c r="U43">
        <f>T43*(1+$AC43/Keys!$C$7^ROUNDUP((U$8-Keys!$C$6)/Keys!$C$8,0))</f>
        <v>2557.0268811175852</v>
      </c>
      <c r="V43">
        <f>U43*(1+$AC43/Keys!$C$7^ROUNDUP((V$8-Keys!$C$6)/Keys!$C$8,0))</f>
        <v>2556.2263723665596</v>
      </c>
      <c r="W43">
        <f>V43*(1+$AC43/Keys!$C$7^ROUNDUP((W$8-Keys!$C$6)/Keys!$C$8,0))</f>
        <v>2555.4261142246555</v>
      </c>
      <c r="X43">
        <f>W43*(1+$AC43/Keys!$C$7^ROUNDUP((X$8-Keys!$C$6)/Keys!$C$8,0))</f>
        <v>2555.2261123218459</v>
      </c>
      <c r="Y43">
        <f>X43*(1+$AC43/Keys!$C$7^ROUNDUP((Y$8-Keys!$C$6)/Keys!$C$8,0))</f>
        <v>2555.0261260723009</v>
      </c>
      <c r="Z43">
        <f>Y43*(1+$AC43/Keys!$C$7^ROUNDUP((Z$8-Keys!$C$6)/Keys!$C$8,0))</f>
        <v>2554.8261554747955</v>
      </c>
      <c r="AA43">
        <f>Z43*(1+$AC43/Keys!$C$7^ROUNDUP((AA$8-Keys!$C$6)/Keys!$C$8,0))</f>
        <v>2554.6262005281046</v>
      </c>
      <c r="AB43">
        <f>AA43*(1+$AC43/Keys!$C$7^ROUNDUP((AB$8-Keys!$C$6)/Keys!$C$8,0))</f>
        <v>2554.4262612310031</v>
      </c>
      <c r="AC43">
        <f>IFERROR((EPRI_PI2026!$H$38/EPRI_PI2026!$F$38)^(1/6)-1,0)</f>
        <v>-2.003598806252882E-2</v>
      </c>
    </row>
    <row r="44" spans="1:29" x14ac:dyDescent="0.45">
      <c r="A44" t="s">
        <v>95</v>
      </c>
      <c r="B44">
        <f>IFERROR(EPRI_PI2026!$F$39,0)</f>
        <v>631</v>
      </c>
      <c r="C44">
        <f t="shared" si="3"/>
        <v>682.2358780040114</v>
      </c>
      <c r="D44">
        <f t="shared" si="3"/>
        <v>737.63200195864397</v>
      </c>
      <c r="E44">
        <f t="shared" si="3"/>
        <v>797.52617511903668</v>
      </c>
      <c r="F44">
        <f t="shared" si="3"/>
        <v>862.28362965692065</v>
      </c>
      <c r="G44">
        <f t="shared" si="3"/>
        <v>932.29925383118075</v>
      </c>
      <c r="H44">
        <f t="shared" si="3"/>
        <v>1008.0000000000005</v>
      </c>
      <c r="I44">
        <f>H44*(1+$AC44/Keys!$C$7^ROUNDUP((I$8-Keys!$C$6)/Keys!$C$8,0))</f>
        <v>1028.4618720396375</v>
      </c>
      <c r="J44">
        <f>I44*(1+$AC44/Keys!$C$7^ROUNDUP((J$8-Keys!$C$6)/Keys!$C$8,0))</f>
        <v>1049.3391093643602</v>
      </c>
      <c r="K44">
        <f>J44*(1+$AC44/Keys!$C$7^ROUNDUP((K$8-Keys!$C$6)/Keys!$C$8,0))</f>
        <v>1070.6401436719</v>
      </c>
      <c r="L44">
        <f>K44*(1+$AC44/Keys!$C$7^ROUNDUP((L$8-Keys!$C$6)/Keys!$C$8,0))</f>
        <v>1092.3735778190357</v>
      </c>
      <c r="M44">
        <f>L44*(1+$AC44/Keys!$C$7^ROUNDUP((M$8-Keys!$C$6)/Keys!$C$8,0))</f>
        <v>1114.5481892960333</v>
      </c>
      <c r="N44">
        <f>M44*(1+$AC44/Keys!$C$7^ROUNDUP((N$8-Keys!$C$6)/Keys!$C$8,0))</f>
        <v>1120.2043754149283</v>
      </c>
      <c r="O44">
        <f>N44*(1+$AC44/Keys!$C$7^ROUNDUP((O$8-Keys!$C$6)/Keys!$C$8,0))</f>
        <v>1125.8892659377411</v>
      </c>
      <c r="P44">
        <f>O44*(1+$AC44/Keys!$C$7^ROUNDUP((P$8-Keys!$C$6)/Keys!$C$8,0))</f>
        <v>1131.6030065355633</v>
      </c>
      <c r="Q44">
        <f>P44*(1+$AC44/Keys!$C$7^ROUNDUP((Q$8-Keys!$C$6)/Keys!$C$8,0))</f>
        <v>1137.3457436187475</v>
      </c>
      <c r="R44">
        <f>Q44*(1+$AC44/Keys!$C$7^ROUNDUP((R$8-Keys!$C$6)/Keys!$C$8,0))</f>
        <v>1143.1176243406603</v>
      </c>
      <c r="S44">
        <f>R44*(1+$AC44/Keys!$C$7^ROUNDUP((S$8-Keys!$C$6)/Keys!$C$8,0))</f>
        <v>1144.5679174058582</v>
      </c>
      <c r="T44">
        <f>S44*(1+$AC44/Keys!$C$7^ROUNDUP((T$8-Keys!$C$6)/Keys!$C$8,0))</f>
        <v>1146.0200504829063</v>
      </c>
      <c r="U44">
        <f>T44*(1+$AC44/Keys!$C$7^ROUNDUP((U$8-Keys!$C$6)/Keys!$C$8,0))</f>
        <v>1147.4740259062594</v>
      </c>
      <c r="V44">
        <f>U44*(1+$AC44/Keys!$C$7^ROUNDUP((V$8-Keys!$C$6)/Keys!$C$8,0))</f>
        <v>1148.9298460133341</v>
      </c>
      <c r="W44">
        <f>V44*(1+$AC44/Keys!$C$7^ROUNDUP((W$8-Keys!$C$6)/Keys!$C$8,0))</f>
        <v>1150.3875131445125</v>
      </c>
      <c r="X44">
        <f>W44*(1+$AC44/Keys!$C$7^ROUNDUP((X$8-Keys!$C$6)/Keys!$C$8,0))</f>
        <v>1150.7523922691707</v>
      </c>
      <c r="Y44">
        <f>X44*(1+$AC44/Keys!$C$7^ROUNDUP((Y$8-Keys!$C$6)/Keys!$C$8,0))</f>
        <v>1151.1173871259402</v>
      </c>
      <c r="Z44">
        <f>Y44*(1+$AC44/Keys!$C$7^ROUNDUP((Z$8-Keys!$C$6)/Keys!$C$8,0))</f>
        <v>1151.4824977515289</v>
      </c>
      <c r="AA44">
        <f>Z44*(1+$AC44/Keys!$C$7^ROUNDUP((AA$8-Keys!$C$6)/Keys!$C$8,0))</f>
        <v>1151.8477241826558</v>
      </c>
      <c r="AB44">
        <f>AA44*(1+$AC44/Keys!$C$7^ROUNDUP((AB$8-Keys!$C$6)/Keys!$C$8,0))</f>
        <v>1152.2130664560525</v>
      </c>
      <c r="AC44">
        <f>IFERROR((EPRI_PI2026!$H$39/EPRI_PI2026!$F$39)^(1/6)-1,0)</f>
        <v>8.1197904919193986E-2</v>
      </c>
    </row>
    <row r="45" spans="1:29" x14ac:dyDescent="0.45">
      <c r="A45" t="s">
        <v>97</v>
      </c>
      <c r="B45">
        <f>IFERROR(EPRI_PI2026!$F$40,0)</f>
        <v>3</v>
      </c>
      <c r="C45">
        <f t="shared" si="3"/>
        <v>2.8039657955522017</v>
      </c>
      <c r="D45">
        <f t="shared" si="3"/>
        <v>2.6207413942088968</v>
      </c>
      <c r="E45">
        <f t="shared" si="3"/>
        <v>2.4494897427831783</v>
      </c>
      <c r="F45">
        <f t="shared" si="3"/>
        <v>2.2894284851066642</v>
      </c>
      <c r="G45">
        <f t="shared" si="3"/>
        <v>2.1398263878673265</v>
      </c>
      <c r="H45">
        <f t="shared" si="3"/>
        <v>2.0000000000000004</v>
      </c>
      <c r="I45">
        <f>H45*(1+$AC45/Keys!$C$7^ROUNDUP((I$8-Keys!$C$6)/Keys!$C$8,0))</f>
        <v>1.9673276325920339</v>
      </c>
      <c r="J45">
        <f>I45*(1+$AC45/Keys!$C$7^ROUNDUP((J$8-Keys!$C$6)/Keys!$C$8,0))</f>
        <v>1.9351890069800879</v>
      </c>
      <c r="K45">
        <f>J45*(1+$AC45/Keys!$C$7^ROUNDUP((K$8-Keys!$C$6)/Keys!$C$8,0))</f>
        <v>1.9035754038601322</v>
      </c>
      <c r="L45">
        <f>K45*(1+$AC45/Keys!$C$7^ROUNDUP((L$8-Keys!$C$6)/Keys!$C$8,0))</f>
        <v>1.872478246368289</v>
      </c>
      <c r="M45">
        <f>L45*(1+$AC45/Keys!$C$7^ROUNDUP((M$8-Keys!$C$6)/Keys!$C$8,0))</f>
        <v>1.8418890977539042</v>
      </c>
      <c r="N45">
        <f>M45*(1+$AC45/Keys!$C$7^ROUNDUP((N$8-Keys!$C$6)/Keys!$C$8,0))</f>
        <v>1.8343667380880864</v>
      </c>
      <c r="O45">
        <f>N45*(1+$AC45/Keys!$C$7^ROUNDUP((O$8-Keys!$C$6)/Keys!$C$8,0))</f>
        <v>1.8268751000846155</v>
      </c>
      <c r="P45">
        <f>O45*(1+$AC45/Keys!$C$7^ROUNDUP((P$8-Keys!$C$6)/Keys!$C$8,0))</f>
        <v>1.8194140582748117</v>
      </c>
      <c r="Q45">
        <f>P45*(1+$AC45/Keys!$C$7^ROUNDUP((Q$8-Keys!$C$6)/Keys!$C$8,0))</f>
        <v>1.811983487702415</v>
      </c>
      <c r="R45">
        <f>Q45*(1+$AC45/Keys!$C$7^ROUNDUP((R$8-Keys!$C$6)/Keys!$C$8,0))</f>
        <v>1.8045832639214925</v>
      </c>
      <c r="S45">
        <f>R45*(1+$AC45/Keys!$C$7^ROUNDUP((S$8-Keys!$C$6)/Keys!$C$8,0))</f>
        <v>1.8027407636897079</v>
      </c>
      <c r="T45">
        <f>S45*(1+$AC45/Keys!$C$7^ROUNDUP((T$8-Keys!$C$6)/Keys!$C$8,0))</f>
        <v>1.8009001446718147</v>
      </c>
      <c r="U45">
        <f>T45*(1+$AC45/Keys!$C$7^ROUNDUP((U$8-Keys!$C$6)/Keys!$C$8,0))</f>
        <v>1.7990614049470717</v>
      </c>
      <c r="V45">
        <f>U45*(1+$AC45/Keys!$C$7^ROUNDUP((V$8-Keys!$C$6)/Keys!$C$8,0))</f>
        <v>1.7972245425966991</v>
      </c>
      <c r="W45">
        <f>V45*(1+$AC45/Keys!$C$7^ROUNDUP((W$8-Keys!$C$6)/Keys!$C$8,0))</f>
        <v>1.7953895557038761</v>
      </c>
      <c r="X45">
        <f>W45*(1+$AC45/Keys!$C$7^ROUNDUP((X$8-Keys!$C$6)/Keys!$C$8,0))</f>
        <v>1.7949312773663419</v>
      </c>
      <c r="Y45">
        <f>X45*(1+$AC45/Keys!$C$7^ROUNDUP((Y$8-Keys!$C$6)/Keys!$C$8,0))</f>
        <v>1.7944731160056688</v>
      </c>
      <c r="Z45">
        <f>Y45*(1+$AC45/Keys!$C$7^ROUNDUP((Z$8-Keys!$C$6)/Keys!$C$8,0))</f>
        <v>1.794015071591998</v>
      </c>
      <c r="AA45">
        <f>Z45*(1+$AC45/Keys!$C$7^ROUNDUP((AA$8-Keys!$C$6)/Keys!$C$8,0))</f>
        <v>1.7935571440954785</v>
      </c>
      <c r="AB45">
        <f>AA45*(1+$AC45/Keys!$C$7^ROUNDUP((AB$8-Keys!$C$6)/Keys!$C$8,0))</f>
        <v>1.793099333486267</v>
      </c>
      <c r="AC45">
        <f>IFERROR((EPRI_PI2026!$H$40/EPRI_PI2026!$F$40)^(1/6)-1,0)</f>
        <v>-6.5344734815932837E-2</v>
      </c>
    </row>
    <row r="46" spans="1:29" x14ac:dyDescent="0.45">
      <c r="A46" t="s">
        <v>99</v>
      </c>
      <c r="B46">
        <f>IFERROR(EPRI_PI2026!$F$41,0)</f>
        <v>551</v>
      </c>
      <c r="C46">
        <f t="shared" si="3"/>
        <v>594.69737959321662</v>
      </c>
      <c r="D46">
        <f t="shared" si="3"/>
        <v>641.86020561712951</v>
      </c>
      <c r="E46">
        <f t="shared" si="3"/>
        <v>692.76330734241401</v>
      </c>
      <c r="F46">
        <f t="shared" si="3"/>
        <v>747.70330953695782</v>
      </c>
      <c r="G46">
        <f t="shared" si="3"/>
        <v>807.00036097060706</v>
      </c>
      <c r="H46">
        <f t="shared" si="3"/>
        <v>870.99999999999989</v>
      </c>
      <c r="I46">
        <f>H46*(1+$AC46/Keys!$C$7^ROUNDUP((I$8-Keys!$C$6)/Keys!$C$8,0))</f>
        <v>888.26879202617567</v>
      </c>
      <c r="J46">
        <f>I46*(1+$AC46/Keys!$C$7^ROUNDUP((J$8-Keys!$C$6)/Keys!$C$8,0))</f>
        <v>905.87996198351493</v>
      </c>
      <c r="K46">
        <f>J46*(1+$AC46/Keys!$C$7^ROUNDUP((K$8-Keys!$C$6)/Keys!$C$8,0))</f>
        <v>923.84029799289885</v>
      </c>
      <c r="L46">
        <f>K46*(1+$AC46/Keys!$C$7^ROUNDUP((L$8-Keys!$C$6)/Keys!$C$8,0))</f>
        <v>942.15672275919007</v>
      </c>
      <c r="M46">
        <f>L46*(1+$AC46/Keys!$C$7^ROUNDUP((M$8-Keys!$C$6)/Keys!$C$8,0))</f>
        <v>960.83629623954812</v>
      </c>
      <c r="N46">
        <f>M46*(1+$AC46/Keys!$C$7^ROUNDUP((N$8-Keys!$C$6)/Keys!$C$8,0))</f>
        <v>965.59877677082306</v>
      </c>
      <c r="O46">
        <f>N46*(1+$AC46/Keys!$C$7^ROUNDUP((O$8-Keys!$C$6)/Keys!$C$8,0))</f>
        <v>970.38486300985437</v>
      </c>
      <c r="P46">
        <f>O46*(1+$AC46/Keys!$C$7^ROUNDUP((P$8-Keys!$C$6)/Keys!$C$8,0))</f>
        <v>975.19467196067706</v>
      </c>
      <c r="Q46">
        <f>P46*(1+$AC46/Keys!$C$7^ROUNDUP((Q$8-Keys!$C$6)/Keys!$C$8,0))</f>
        <v>980.02832120726828</v>
      </c>
      <c r="R46">
        <f>Q46*(1+$AC46/Keys!$C$7^ROUNDUP((R$8-Keys!$C$6)/Keys!$C$8,0))</f>
        <v>984.88592891642168</v>
      </c>
      <c r="S46">
        <f>R46*(1+$AC46/Keys!$C$7^ROUNDUP((S$8-Keys!$C$6)/Keys!$C$8,0))</f>
        <v>986.10635014747538</v>
      </c>
      <c r="T46">
        <f>S46*(1+$AC46/Keys!$C$7^ROUNDUP((T$8-Keys!$C$6)/Keys!$C$8,0))</f>
        <v>987.32828366328965</v>
      </c>
      <c r="U46">
        <f>T46*(1+$AC46/Keys!$C$7^ROUNDUP((U$8-Keys!$C$6)/Keys!$C$8,0))</f>
        <v>988.55173133781193</v>
      </c>
      <c r="V46">
        <f>U46*(1+$AC46/Keys!$C$7^ROUNDUP((V$8-Keys!$C$6)/Keys!$C$8,0))</f>
        <v>989.7766950473117</v>
      </c>
      <c r="W46">
        <f>V46*(1+$AC46/Keys!$C$7^ROUNDUP((W$8-Keys!$C$6)/Keys!$C$8,0))</f>
        <v>991.00317667038348</v>
      </c>
      <c r="X46">
        <f>W46*(1+$AC46/Keys!$C$7^ROUNDUP((X$8-Keys!$C$6)/Keys!$C$8,0))</f>
        <v>991.31017702477504</v>
      </c>
      <c r="Y46">
        <f>X46*(1+$AC46/Keys!$C$7^ROUNDUP((Y$8-Keys!$C$6)/Keys!$C$8,0))</f>
        <v>991.61727248402576</v>
      </c>
      <c r="Z46">
        <f>Y46*(1+$AC46/Keys!$C$7^ROUNDUP((Z$8-Keys!$C$6)/Keys!$C$8,0))</f>
        <v>991.92446307759803</v>
      </c>
      <c r="AA46">
        <f>Z46*(1+$AC46/Keys!$C$7^ROUNDUP((AA$8-Keys!$C$6)/Keys!$C$8,0))</f>
        <v>992.23174883496324</v>
      </c>
      <c r="AB46">
        <f>AA46*(1+$AC46/Keys!$C$7^ROUNDUP((AB$8-Keys!$C$6)/Keys!$C$8,0))</f>
        <v>992.53912978560186</v>
      </c>
      <c r="AC46">
        <f>IFERROR((EPRI_PI2026!$H$41/EPRI_PI2026!$F$41)^(1/6)-1,0)</f>
        <v>7.9305589098396689E-2</v>
      </c>
    </row>
    <row r="47" spans="1:29" x14ac:dyDescent="0.45">
      <c r="A47" t="s">
        <v>101</v>
      </c>
      <c r="B47">
        <f>IFERROR(EPRI_PI2026!$F$42,0)</f>
        <v>30</v>
      </c>
      <c r="C47">
        <f t="shared" si="3"/>
        <v>28.700470624767597</v>
      </c>
      <c r="D47">
        <f t="shared" si="3"/>
        <v>27.45723380277159</v>
      </c>
      <c r="E47">
        <f t="shared" si="3"/>
        <v>26.267851073127396</v>
      </c>
      <c r="F47">
        <f t="shared" si="3"/>
        <v>25.129989603335428</v>
      </c>
      <c r="G47">
        <f t="shared" si="3"/>
        <v>24.04141761370812</v>
      </c>
      <c r="H47">
        <f t="shared" si="3"/>
        <v>23.000000000000007</v>
      </c>
      <c r="I47">
        <f>H47*(1+$AC47/Keys!$C$7^ROUNDUP((I$8-Keys!$C$6)/Keys!$C$8,0))</f>
        <v>22.750923536413797</v>
      </c>
      <c r="J47">
        <f>I47*(1+$AC47/Keys!$C$7^ROUNDUP((J$8-Keys!$C$6)/Keys!$C$8,0))</f>
        <v>22.504544424336832</v>
      </c>
      <c r="K47">
        <f>J47*(1+$AC47/Keys!$C$7^ROUNDUP((K$8-Keys!$C$6)/Keys!$C$8,0))</f>
        <v>22.260833453039762</v>
      </c>
      <c r="L47">
        <f>K47*(1+$AC47/Keys!$C$7^ROUNDUP((L$8-Keys!$C$6)/Keys!$C$8,0))</f>
        <v>22.019761728128252</v>
      </c>
      <c r="M47">
        <f>L47*(1+$AC47/Keys!$C$7^ROUNDUP((M$8-Keys!$C$6)/Keys!$C$8,0))</f>
        <v>21.781300668117243</v>
      </c>
      <c r="N47">
        <f>M47*(1+$AC47/Keys!$C$7^ROUNDUP((N$8-Keys!$C$6)/Keys!$C$8,0))</f>
        <v>21.722331001348518</v>
      </c>
      <c r="O47">
        <f>N47*(1+$AC47/Keys!$C$7^ROUNDUP((O$8-Keys!$C$6)/Keys!$C$8,0))</f>
        <v>21.663520986276072</v>
      </c>
      <c r="P47">
        <f>O47*(1+$AC47/Keys!$C$7^ROUNDUP((P$8-Keys!$C$6)/Keys!$C$8,0))</f>
        <v>21.604870190666428</v>
      </c>
      <c r="Q47">
        <f>P47*(1+$AC47/Keys!$C$7^ROUNDUP((Q$8-Keys!$C$6)/Keys!$C$8,0))</f>
        <v>21.546378183456316</v>
      </c>
      <c r="R47">
        <f>Q47*(1+$AC47/Keys!$C$7^ROUNDUP((R$8-Keys!$C$6)/Keys!$C$8,0))</f>
        <v>21.488044534749505</v>
      </c>
      <c r="S47">
        <f>R47*(1+$AC47/Keys!$C$7^ROUNDUP((S$8-Keys!$C$6)/Keys!$C$8,0))</f>
        <v>21.473500605015541</v>
      </c>
      <c r="T47">
        <f>S47*(1+$AC47/Keys!$C$7^ROUNDUP((T$8-Keys!$C$6)/Keys!$C$8,0))</f>
        <v>21.458966519169039</v>
      </c>
      <c r="U47">
        <f>T47*(1+$AC47/Keys!$C$7^ROUNDUP((U$8-Keys!$C$6)/Keys!$C$8,0))</f>
        <v>21.444442270547274</v>
      </c>
      <c r="V47">
        <f>U47*(1+$AC47/Keys!$C$7^ROUNDUP((V$8-Keys!$C$6)/Keys!$C$8,0))</f>
        <v>21.429927852492039</v>
      </c>
      <c r="W47">
        <f>V47*(1+$AC47/Keys!$C$7^ROUNDUP((W$8-Keys!$C$6)/Keys!$C$8,0))</f>
        <v>21.41542325834963</v>
      </c>
      <c r="X47">
        <f>W47*(1+$AC47/Keys!$C$7^ROUNDUP((X$8-Keys!$C$6)/Keys!$C$8,0))</f>
        <v>21.411799564129936</v>
      </c>
      <c r="Y47">
        <f>X47*(1+$AC47/Keys!$C$7^ROUNDUP((Y$8-Keys!$C$6)/Keys!$C$8,0))</f>
        <v>21.408176483073923</v>
      </c>
      <c r="Z47">
        <f>Y47*(1+$AC47/Keys!$C$7^ROUNDUP((Z$8-Keys!$C$6)/Keys!$C$8,0))</f>
        <v>21.404554015077839</v>
      </c>
      <c r="AA47">
        <f>Z47*(1+$AC47/Keys!$C$7^ROUNDUP((AA$8-Keys!$C$6)/Keys!$C$8,0))</f>
        <v>21.40093216003795</v>
      </c>
      <c r="AB47">
        <f>AA47*(1+$AC47/Keys!$C$7^ROUNDUP((AB$8-Keys!$C$6)/Keys!$C$8,0))</f>
        <v>21.397310917850536</v>
      </c>
      <c r="AC47">
        <f>IFERROR((EPRI_PI2026!$H$42/EPRI_PI2026!$F$42)^(1/6)-1,0)</f>
        <v>-4.331764584108011E-2</v>
      </c>
    </row>
    <row r="48" spans="1:29" x14ac:dyDescent="0.45">
      <c r="A48" t="s">
        <v>103</v>
      </c>
      <c r="B48">
        <f>IFERROR(EPRI_PI2026!$F$43,0)</f>
        <v>755</v>
      </c>
      <c r="C48">
        <f t="shared" si="3"/>
        <v>763.11227556573112</v>
      </c>
      <c r="D48">
        <f t="shared" si="3"/>
        <v>771.31171538954754</v>
      </c>
      <c r="E48">
        <f t="shared" si="3"/>
        <v>779.59925602837779</v>
      </c>
      <c r="F48">
        <f t="shared" si="3"/>
        <v>787.97584410220725</v>
      </c>
      <c r="G48">
        <f t="shared" si="3"/>
        <v>796.44243640220293</v>
      </c>
      <c r="H48">
        <f t="shared" si="3"/>
        <v>805.00000000000023</v>
      </c>
      <c r="I48">
        <f>H48*(1+$AC48/Keys!$C$7^ROUNDUP((I$8-Keys!$C$6)/Keys!$C$8,0))</f>
        <v>807.16237808954111</v>
      </c>
      <c r="J48">
        <f>I48*(1+$AC48/Keys!$C$7^ROUNDUP((J$8-Keys!$C$6)/Keys!$C$8,0))</f>
        <v>809.33056472442627</v>
      </c>
      <c r="K48">
        <f>J48*(1+$AC48/Keys!$C$7^ROUNDUP((K$8-Keys!$C$6)/Keys!$C$8,0))</f>
        <v>811.50457550747706</v>
      </c>
      <c r="L48">
        <f>K48*(1+$AC48/Keys!$C$7^ROUNDUP((L$8-Keys!$C$6)/Keys!$C$8,0))</f>
        <v>813.68442608342684</v>
      </c>
      <c r="M48">
        <f>L48*(1+$AC48/Keys!$C$7^ROUNDUP((M$8-Keys!$C$6)/Keys!$C$8,0))</f>
        <v>815.87013213903356</v>
      </c>
      <c r="N48">
        <f>M48*(1+$AC48/Keys!$C$7^ROUNDUP((N$8-Keys!$C$6)/Keys!$C$8,0))</f>
        <v>816.41802645507335</v>
      </c>
      <c r="O48">
        <f>N48*(1+$AC48/Keys!$C$7^ROUNDUP((O$8-Keys!$C$6)/Keys!$C$8,0))</f>
        <v>816.96628870734435</v>
      </c>
      <c r="P48">
        <f>O48*(1+$AC48/Keys!$C$7^ROUNDUP((P$8-Keys!$C$6)/Keys!$C$8,0))</f>
        <v>817.51491914293263</v>
      </c>
      <c r="Q48">
        <f>P48*(1+$AC48/Keys!$C$7^ROUNDUP((Q$8-Keys!$C$6)/Keys!$C$8,0))</f>
        <v>818.06391800909023</v>
      </c>
      <c r="R48">
        <f>Q48*(1+$AC48/Keys!$C$7^ROUNDUP((R$8-Keys!$C$6)/Keys!$C$8,0))</f>
        <v>818.61328555323519</v>
      </c>
      <c r="S48">
        <f>R48*(1+$AC48/Keys!$C$7^ROUNDUP((S$8-Keys!$C$6)/Keys!$C$8,0))</f>
        <v>818.75071967066424</v>
      </c>
      <c r="T48">
        <f>S48*(1+$AC48/Keys!$C$7^ROUNDUP((T$8-Keys!$C$6)/Keys!$C$8,0))</f>
        <v>818.88817686142602</v>
      </c>
      <c r="U48">
        <f>T48*(1+$AC48/Keys!$C$7^ROUNDUP((U$8-Keys!$C$6)/Keys!$C$8,0))</f>
        <v>819.02565712939406</v>
      </c>
      <c r="V48">
        <f>U48*(1+$AC48/Keys!$C$7^ROUNDUP((V$8-Keys!$C$6)/Keys!$C$8,0))</f>
        <v>819.16316047844282</v>
      </c>
      <c r="W48">
        <f>V48*(1+$AC48/Keys!$C$7^ROUNDUP((W$8-Keys!$C$6)/Keys!$C$8,0))</f>
        <v>819.3006869124473</v>
      </c>
      <c r="X48">
        <f>W48*(1+$AC48/Keys!$C$7^ROUNDUP((X$8-Keys!$C$6)/Keys!$C$8,0))</f>
        <v>819.33507429315637</v>
      </c>
      <c r="Y48">
        <f>X48*(1+$AC48/Keys!$C$7^ROUNDUP((Y$8-Keys!$C$6)/Keys!$C$8,0))</f>
        <v>819.36946311715963</v>
      </c>
      <c r="Z48">
        <f>Y48*(1+$AC48/Keys!$C$7^ROUNDUP((Z$8-Keys!$C$6)/Keys!$C$8,0))</f>
        <v>819.40385338451767</v>
      </c>
      <c r="AA48">
        <f>Z48*(1+$AC48/Keys!$C$7^ROUNDUP((AA$8-Keys!$C$6)/Keys!$C$8,0))</f>
        <v>819.43824509529111</v>
      </c>
      <c r="AB48">
        <f>AA48*(1+$AC48/Keys!$C$7^ROUNDUP((AB$8-Keys!$C$6)/Keys!$C$8,0))</f>
        <v>819.47263824954052</v>
      </c>
      <c r="AC48">
        <f>IFERROR((EPRI_PI2026!$H$43/EPRI_PI2026!$F$43)^(1/6)-1,0)</f>
        <v>1.0744735848650544E-2</v>
      </c>
    </row>
    <row r="49" spans="1:29" x14ac:dyDescent="0.45">
      <c r="A49" t="s">
        <v>105</v>
      </c>
      <c r="B49">
        <f>IFERROR(EPRI_PI2026!$F$44,0)</f>
        <v>7315</v>
      </c>
      <c r="C49">
        <f t="shared" ref="C49:H58" si="4">B49*(1+$AC49)</f>
        <v>7466.2915655805218</v>
      </c>
      <c r="D49">
        <f t="shared" si="4"/>
        <v>7620.7121998986786</v>
      </c>
      <c r="E49">
        <f t="shared" si="4"/>
        <v>7778.3266195242768</v>
      </c>
      <c r="F49">
        <f t="shared" si="4"/>
        <v>7939.2008795194197</v>
      </c>
      <c r="G49">
        <f t="shared" si="4"/>
        <v>8103.4024011217089</v>
      </c>
      <c r="H49">
        <f t="shared" si="4"/>
        <v>8270.9999999999945</v>
      </c>
      <c r="I49">
        <f>H49*(1+$AC49/Keys!$C$7^ROUNDUP((I$8-Keys!$C$6)/Keys!$C$8,0))</f>
        <v>8313.7659787736284</v>
      </c>
      <c r="J49">
        <f>I49*(1+$AC49/Keys!$C$7^ROUNDUP((J$8-Keys!$C$6)/Keys!$C$8,0))</f>
        <v>8356.753083038795</v>
      </c>
      <c r="K49">
        <f>J49*(1+$AC49/Keys!$C$7^ROUNDUP((K$8-Keys!$C$6)/Keys!$C$8,0))</f>
        <v>8399.9624561455203</v>
      </c>
      <c r="L49">
        <f>K49*(1+$AC49/Keys!$C$7^ROUNDUP((L$8-Keys!$C$6)/Keys!$C$8,0))</f>
        <v>8443.3952473556328</v>
      </c>
      <c r="M49">
        <f>L49*(1+$AC49/Keys!$C$7^ROUNDUP((M$8-Keys!$C$6)/Keys!$C$8,0))</f>
        <v>8487.0526118733214</v>
      </c>
      <c r="N49">
        <f>M49*(1+$AC49/Keys!$C$7^ROUNDUP((N$8-Keys!$C$6)/Keys!$C$8,0))</f>
        <v>8498.0233866239578</v>
      </c>
      <c r="O49">
        <f>N49*(1+$AC49/Keys!$C$7^ROUNDUP((O$8-Keys!$C$6)/Keys!$C$8,0))</f>
        <v>8509.0083427287282</v>
      </c>
      <c r="P49">
        <f>O49*(1+$AC49/Keys!$C$7^ROUNDUP((P$8-Keys!$C$6)/Keys!$C$8,0))</f>
        <v>8520.007498519135</v>
      </c>
      <c r="Q49">
        <f>P49*(1+$AC49/Keys!$C$7^ROUNDUP((Q$8-Keys!$C$6)/Keys!$C$8,0))</f>
        <v>8531.0208723503783</v>
      </c>
      <c r="R49">
        <f>Q49*(1+$AC49/Keys!$C$7^ROUNDUP((R$8-Keys!$C$6)/Keys!$C$8,0))</f>
        <v>8542.0484826013871</v>
      </c>
      <c r="S49">
        <f>R49*(1+$AC49/Keys!$C$7^ROUNDUP((S$8-Keys!$C$6)/Keys!$C$8,0))</f>
        <v>8544.8089488697515</v>
      </c>
      <c r="T49">
        <f>S49*(1+$AC49/Keys!$C$7^ROUNDUP((T$8-Keys!$C$6)/Keys!$C$8,0))</f>
        <v>8547.5703072161723</v>
      </c>
      <c r="U49">
        <f>T49*(1+$AC49/Keys!$C$7^ROUNDUP((U$8-Keys!$C$6)/Keys!$C$8,0))</f>
        <v>8550.3325579289376</v>
      </c>
      <c r="V49">
        <f>U49*(1+$AC49/Keys!$C$7^ROUNDUP((V$8-Keys!$C$6)/Keys!$C$8,0))</f>
        <v>8553.0957012964245</v>
      </c>
      <c r="W49">
        <f>V49*(1+$AC49/Keys!$C$7^ROUNDUP((W$8-Keys!$C$6)/Keys!$C$8,0))</f>
        <v>8555.8597376071066</v>
      </c>
      <c r="X49">
        <f>W49*(1+$AC49/Keys!$C$7^ROUNDUP((X$8-Keys!$C$6)/Keys!$C$8,0))</f>
        <v>8556.550969992717</v>
      </c>
      <c r="Y49">
        <f>X49*(1+$AC49/Keys!$C$7^ROUNDUP((Y$8-Keys!$C$6)/Keys!$C$8,0))</f>
        <v>8557.2422582233539</v>
      </c>
      <c r="Z49">
        <f>Y49*(1+$AC49/Keys!$C$7^ROUNDUP((Z$8-Keys!$C$6)/Keys!$C$8,0))</f>
        <v>8557.9336023035285</v>
      </c>
      <c r="AA49">
        <f>Z49*(1+$AC49/Keys!$C$7^ROUNDUP((AA$8-Keys!$C$6)/Keys!$C$8,0))</f>
        <v>8558.6250022377535</v>
      </c>
      <c r="AB49">
        <f>AA49*(1+$AC49/Keys!$C$7^ROUNDUP((AB$8-Keys!$C$6)/Keys!$C$8,0))</f>
        <v>8559.3164580305402</v>
      </c>
      <c r="AC49">
        <f>IFERROR((EPRI_PI2026!$H$44/EPRI_PI2026!$F$44)^(1/6)-1,0)</f>
        <v>2.0682373968629042E-2</v>
      </c>
    </row>
    <row r="50" spans="1:29" x14ac:dyDescent="0.45">
      <c r="A50" t="s">
        <v>107</v>
      </c>
      <c r="B50">
        <f>IFERROR(EPRI_PI2026!$F$45,0)</f>
        <v>497</v>
      </c>
      <c r="C50">
        <f t="shared" si="4"/>
        <v>498.48880575645444</v>
      </c>
      <c r="D50">
        <f t="shared" si="4"/>
        <v>499.98207135713517</v>
      </c>
      <c r="E50">
        <f t="shared" si="4"/>
        <v>501.4798101618847</v>
      </c>
      <c r="F50">
        <f t="shared" si="4"/>
        <v>502.98203557056621</v>
      </c>
      <c r="G50">
        <f t="shared" si="4"/>
        <v>504.4887610231832</v>
      </c>
      <c r="H50">
        <f t="shared" si="4"/>
        <v>505.99999999999989</v>
      </c>
      <c r="I50">
        <f>H50*(1+$AC50/Keys!$C$7^ROUNDUP((I$8-Keys!$C$6)/Keys!$C$8,0))</f>
        <v>506.37894150541536</v>
      </c>
      <c r="J50">
        <f>I50*(1+$AC50/Keys!$C$7^ROUNDUP((J$8-Keys!$C$6)/Keys!$C$8,0))</f>
        <v>506.75816679870536</v>
      </c>
      <c r="K50">
        <f>J50*(1+$AC50/Keys!$C$7^ROUNDUP((K$8-Keys!$C$6)/Keys!$C$8,0))</f>
        <v>507.13767609239761</v>
      </c>
      <c r="L50">
        <f>K50*(1+$AC50/Keys!$C$7^ROUNDUP((L$8-Keys!$C$6)/Keys!$C$8,0))</f>
        <v>507.51746959917892</v>
      </c>
      <c r="M50">
        <f>L50*(1+$AC50/Keys!$C$7^ROUNDUP((M$8-Keys!$C$6)/Keys!$C$8,0))</f>
        <v>507.89754753189544</v>
      </c>
      <c r="N50">
        <f>M50*(1+$AC50/Keys!$C$7^ROUNDUP((N$8-Keys!$C$6)/Keys!$C$8,0))</f>
        <v>507.99263817480977</v>
      </c>
      <c r="O50">
        <f>N50*(1+$AC50/Keys!$C$7^ROUNDUP((O$8-Keys!$C$6)/Keys!$C$8,0))</f>
        <v>508.08774662098068</v>
      </c>
      <c r="P50">
        <f>O50*(1+$AC50/Keys!$C$7^ROUNDUP((P$8-Keys!$C$6)/Keys!$C$8,0))</f>
        <v>508.18287287374142</v>
      </c>
      <c r="Q50">
        <f>P50*(1+$AC50/Keys!$C$7^ROUNDUP((Q$8-Keys!$C$6)/Keys!$C$8,0))</f>
        <v>508.27801693642579</v>
      </c>
      <c r="R50">
        <f>Q50*(1+$AC50/Keys!$C$7^ROUNDUP((R$8-Keys!$C$6)/Keys!$C$8,0))</f>
        <v>508.37317881236822</v>
      </c>
      <c r="S50">
        <f>R50*(1+$AC50/Keys!$C$7^ROUNDUP((S$8-Keys!$C$6)/Keys!$C$8,0))</f>
        <v>508.39697373550212</v>
      </c>
      <c r="T50">
        <f>S50*(1+$AC50/Keys!$C$7^ROUNDUP((T$8-Keys!$C$6)/Keys!$C$8,0))</f>
        <v>508.42076977238156</v>
      </c>
      <c r="U50">
        <f>T50*(1+$AC50/Keys!$C$7^ROUNDUP((U$8-Keys!$C$6)/Keys!$C$8,0))</f>
        <v>508.44456692305869</v>
      </c>
      <c r="V50">
        <f>U50*(1+$AC50/Keys!$C$7^ROUNDUP((V$8-Keys!$C$6)/Keys!$C$8,0))</f>
        <v>508.46836518758562</v>
      </c>
      <c r="W50">
        <f>V50*(1+$AC50/Keys!$C$7^ROUNDUP((W$8-Keys!$C$6)/Keys!$C$8,0))</f>
        <v>508.49216456601448</v>
      </c>
      <c r="X50">
        <f>W50*(1+$AC50/Keys!$C$7^ROUNDUP((X$8-Keys!$C$6)/Keys!$C$8,0))</f>
        <v>508.4981146891102</v>
      </c>
      <c r="Y50">
        <f>X50*(1+$AC50/Keys!$C$7^ROUNDUP((Y$8-Keys!$C$6)/Keys!$C$8,0))</f>
        <v>508.50406488183131</v>
      </c>
      <c r="Z50">
        <f>Y50*(1+$AC50/Keys!$C$7^ROUNDUP((Z$8-Keys!$C$6)/Keys!$C$8,0))</f>
        <v>508.51001514417862</v>
      </c>
      <c r="AA50">
        <f>Z50*(1+$AC50/Keys!$C$7^ROUNDUP((AA$8-Keys!$C$6)/Keys!$C$8,0))</f>
        <v>508.51596547615293</v>
      </c>
      <c r="AB50">
        <f>AA50*(1+$AC50/Keys!$C$7^ROUNDUP((AB$8-Keys!$C$6)/Keys!$C$8,0))</f>
        <v>508.52191587775508</v>
      </c>
      <c r="AC50">
        <f>IFERROR((EPRI_PI2026!$H$45/EPRI_PI2026!$F$45)^(1/6)-1,0)</f>
        <v>2.9955850230471981E-3</v>
      </c>
    </row>
    <row r="51" spans="1:29" x14ac:dyDescent="0.45">
      <c r="A51" t="s">
        <v>109</v>
      </c>
      <c r="B51">
        <f>IFERROR(EPRI_PI2026!$F$46,0)</f>
        <v>2</v>
      </c>
      <c r="C51">
        <f t="shared" si="4"/>
        <v>1.7817974362806785</v>
      </c>
      <c r="D51">
        <f t="shared" si="4"/>
        <v>1.5874010519681994</v>
      </c>
      <c r="E51">
        <f t="shared" si="4"/>
        <v>1.4142135623730949</v>
      </c>
      <c r="F51">
        <f t="shared" si="4"/>
        <v>1.259921049894873</v>
      </c>
      <c r="G51">
        <f t="shared" si="4"/>
        <v>1.1224620483093728</v>
      </c>
      <c r="H51">
        <f t="shared" si="4"/>
        <v>0.99999999999999978</v>
      </c>
      <c r="I51">
        <f>H51*(1+$AC51/Keys!$C$7^ROUNDUP((I$8-Keys!$C$6)/Keys!$C$8,0))</f>
        <v>0.97272467953508457</v>
      </c>
      <c r="J51">
        <f>I51*(1+$AC51/Keys!$C$7^ROUNDUP((J$8-Keys!$C$6)/Keys!$C$8,0))</f>
        <v>0.94619330217663322</v>
      </c>
      <c r="K51">
        <f>J51*(1+$AC51/Keys!$C$7^ROUNDUP((K$8-Keys!$C$6)/Keys!$C$8,0))</f>
        <v>0.92038557663800924</v>
      </c>
      <c r="L51">
        <f>K51*(1+$AC51/Keys!$C$7^ROUNDUP((L$8-Keys!$C$6)/Keys!$C$8,0))</f>
        <v>0.89528176508392177</v>
      </c>
      <c r="M51">
        <f>L51*(1+$AC51/Keys!$C$7^ROUNDUP((M$8-Keys!$C$6)/Keys!$C$8,0))</f>
        <v>0.8708626680348629</v>
      </c>
      <c r="N51">
        <f>M51*(1+$AC51/Keys!$C$7^ROUNDUP((N$8-Keys!$C$6)/Keys!$C$8,0))</f>
        <v>0.86492440344696742</v>
      </c>
      <c r="O51">
        <f>N51*(1+$AC51/Keys!$C$7^ROUNDUP((O$8-Keys!$C$6)/Keys!$C$8,0))</f>
        <v>0.85902663087648201</v>
      </c>
      <c r="P51">
        <f>O51*(1+$AC51/Keys!$C$7^ROUNDUP((P$8-Keys!$C$6)/Keys!$C$8,0))</f>
        <v>0.85316907421521893</v>
      </c>
      <c r="Q51">
        <f>P51*(1+$AC51/Keys!$C$7^ROUNDUP((Q$8-Keys!$C$6)/Keys!$C$8,0))</f>
        <v>0.84735145923772515</v>
      </c>
      <c r="R51">
        <f>Q51*(1+$AC51/Keys!$C$7^ROUNDUP((R$8-Keys!$C$6)/Keys!$C$8,0))</f>
        <v>0.84157351358844457</v>
      </c>
      <c r="S51">
        <f>R51*(1+$AC51/Keys!$C$7^ROUNDUP((S$8-Keys!$C$6)/Keys!$C$8,0))</f>
        <v>0.84013887688357525</v>
      </c>
      <c r="T51">
        <f>S51*(1+$AC51/Keys!$C$7^ROUNDUP((T$8-Keys!$C$6)/Keys!$C$8,0))</f>
        <v>0.83870668581469821</v>
      </c>
      <c r="U51">
        <f>T51*(1+$AC51/Keys!$C$7^ROUNDUP((U$8-Keys!$C$6)/Keys!$C$8,0))</f>
        <v>0.83727693621271926</v>
      </c>
      <c r="V51">
        <f>U51*(1+$AC51/Keys!$C$7^ROUNDUP((V$8-Keys!$C$6)/Keys!$C$8,0))</f>
        <v>0.83584962391565154</v>
      </c>
      <c r="W51">
        <f>V51*(1+$AC51/Keys!$C$7^ROUNDUP((W$8-Keys!$C$6)/Keys!$C$8,0))</f>
        <v>0.83442474476860296</v>
      </c>
      <c r="X51">
        <f>W51*(1+$AC51/Keys!$C$7^ROUNDUP((X$8-Keys!$C$6)/Keys!$C$8,0))</f>
        <v>0.83406913223239332</v>
      </c>
      <c r="Y51">
        <f>X51*(1+$AC51/Keys!$C$7^ROUNDUP((Y$8-Keys!$C$6)/Keys!$C$8,0))</f>
        <v>0.8337136712500256</v>
      </c>
      <c r="Z51">
        <f>Y51*(1+$AC51/Keys!$C$7^ROUNDUP((Z$8-Keys!$C$6)/Keys!$C$8,0))</f>
        <v>0.83335836175691114</v>
      </c>
      <c r="AA51">
        <f>Z51*(1+$AC51/Keys!$C$7^ROUNDUP((AA$8-Keys!$C$6)/Keys!$C$8,0))</f>
        <v>0.83300320368848868</v>
      </c>
      <c r="AB51">
        <f>AA51*(1+$AC51/Keys!$C$7^ROUNDUP((AB$8-Keys!$C$6)/Keys!$C$8,0))</f>
        <v>0.83264819698022452</v>
      </c>
      <c r="AC51">
        <f>IFERROR((EPRI_PI2026!$H$46/EPRI_PI2026!$F$46)^(1/6)-1,0)</f>
        <v>-0.10910128185966073</v>
      </c>
    </row>
    <row r="52" spans="1:29" x14ac:dyDescent="0.45">
      <c r="A52" t="s">
        <v>111</v>
      </c>
      <c r="B52">
        <f>IFERROR(EPRI_PI2026!$F$47,0)</f>
        <v>6367</v>
      </c>
      <c r="C52">
        <f t="shared" si="4"/>
        <v>7093.8333215361263</v>
      </c>
      <c r="D52">
        <f t="shared" si="4"/>
        <v>7903.6392639761698</v>
      </c>
      <c r="E52">
        <f t="shared" si="4"/>
        <v>8805.889676801542</v>
      </c>
      <c r="F52">
        <f t="shared" si="4"/>
        <v>9811.1376810217953</v>
      </c>
      <c r="G52">
        <f t="shared" si="4"/>
        <v>10931.141103158645</v>
      </c>
      <c r="H52">
        <f t="shared" si="4"/>
        <v>12178.999999999995</v>
      </c>
      <c r="I52">
        <f>H52*(1+$AC52/Keys!$C$7^ROUNDUP((I$8-Keys!$C$6)/Keys!$C$8,0))</f>
        <v>12526.577470668617</v>
      </c>
      <c r="J52">
        <f>I52*(1+$AC52/Keys!$C$7^ROUNDUP((J$8-Keys!$C$6)/Keys!$C$8,0))</f>
        <v>12884.074483016884</v>
      </c>
      <c r="K52">
        <f>J52*(1+$AC52/Keys!$C$7^ROUNDUP((K$8-Keys!$C$6)/Keys!$C$8,0))</f>
        <v>13251.774131650856</v>
      </c>
      <c r="L52">
        <f>K52*(1+$AC52/Keys!$C$7^ROUNDUP((L$8-Keys!$C$6)/Keys!$C$8,0))</f>
        <v>13629.967590436559</v>
      </c>
      <c r="M52">
        <f>L52*(1+$AC52/Keys!$C$7^ROUNDUP((M$8-Keys!$C$6)/Keys!$C$8,0))</f>
        <v>14018.954343074643</v>
      </c>
      <c r="N52">
        <f>M52*(1+$AC52/Keys!$C$7^ROUNDUP((N$8-Keys!$C$6)/Keys!$C$8,0))</f>
        <v>14118.97636236984</v>
      </c>
      <c r="O52">
        <f>N52*(1+$AC52/Keys!$C$7^ROUNDUP((O$8-Keys!$C$6)/Keys!$C$8,0))</f>
        <v>14219.712015799156</v>
      </c>
      <c r="P52">
        <f>O52*(1+$AC52/Keys!$C$7^ROUNDUP((P$8-Keys!$C$6)/Keys!$C$8,0))</f>
        <v>14321.166394978229</v>
      </c>
      <c r="Q52">
        <f>P52*(1+$AC52/Keys!$C$7^ROUNDUP((Q$8-Keys!$C$6)/Keys!$C$8,0))</f>
        <v>14423.344627850202</v>
      </c>
      <c r="R52">
        <f>Q52*(1+$AC52/Keys!$C$7^ROUNDUP((R$8-Keys!$C$6)/Keys!$C$8,0))</f>
        <v>14526.251878944915</v>
      </c>
      <c r="S52">
        <f>R52*(1+$AC52/Keys!$C$7^ROUNDUP((S$8-Keys!$C$6)/Keys!$C$8,0))</f>
        <v>14552.162246618671</v>
      </c>
      <c r="T52">
        <f>S52*(1+$AC52/Keys!$C$7^ROUNDUP((T$8-Keys!$C$6)/Keys!$C$8,0))</f>
        <v>14578.11883042296</v>
      </c>
      <c r="U52">
        <f>T52*(1+$AC52/Keys!$C$7^ROUNDUP((U$8-Keys!$C$6)/Keys!$C$8,0))</f>
        <v>14604.12171279315</v>
      </c>
      <c r="V52">
        <f>U52*(1+$AC52/Keys!$C$7^ROUNDUP((V$8-Keys!$C$6)/Keys!$C$8,0))</f>
        <v>14630.170976311652</v>
      </c>
      <c r="W52">
        <f>V52*(1+$AC52/Keys!$C$7^ROUNDUP((W$8-Keys!$C$6)/Keys!$C$8,0))</f>
        <v>14656.266703708174</v>
      </c>
      <c r="X52">
        <f>W52*(1+$AC52/Keys!$C$7^ROUNDUP((X$8-Keys!$C$6)/Keys!$C$8,0))</f>
        <v>14662.802272246126</v>
      </c>
      <c r="Y52">
        <f>X52*(1+$AC52/Keys!$C$7^ROUNDUP((Y$8-Keys!$C$6)/Keys!$C$8,0))</f>
        <v>14669.340755145355</v>
      </c>
      <c r="Z52">
        <f>Y52*(1+$AC52/Keys!$C$7^ROUNDUP((Z$8-Keys!$C$6)/Keys!$C$8,0))</f>
        <v>14675.882153705439</v>
      </c>
      <c r="AA52">
        <f>Z52*(1+$AC52/Keys!$C$7^ROUNDUP((AA$8-Keys!$C$6)/Keys!$C$8,0))</f>
        <v>14682.426469226539</v>
      </c>
      <c r="AB52">
        <f>AA52*(1+$AC52/Keys!$C$7^ROUNDUP((AB$8-Keys!$C$6)/Keys!$C$8,0))</f>
        <v>14688.973703009397</v>
      </c>
      <c r="AC52">
        <f>IFERROR((EPRI_PI2026!$H$47/EPRI_PI2026!$F$47)^(1/6)-1,0)</f>
        <v>0.11415632504101247</v>
      </c>
    </row>
    <row r="53" spans="1:29" x14ac:dyDescent="0.45">
      <c r="A53" t="s">
        <v>113</v>
      </c>
      <c r="B53">
        <f>IFERROR(EPRI_PI2026!$F$48,0)</f>
        <v>1163</v>
      </c>
      <c r="C53">
        <f t="shared" si="4"/>
        <v>1155.5483187470331</v>
      </c>
      <c r="D53">
        <f t="shared" si="4"/>
        <v>1148.1443825959543</v>
      </c>
      <c r="E53">
        <f t="shared" si="4"/>
        <v>1140.7878856299274</v>
      </c>
      <c r="F53">
        <f t="shared" si="4"/>
        <v>1133.4785238922143</v>
      </c>
      <c r="G53">
        <f t="shared" si="4"/>
        <v>1126.2159953736175</v>
      </c>
      <c r="H53">
        <f t="shared" si="4"/>
        <v>1119.0000000000002</v>
      </c>
      <c r="I53">
        <f>H53*(1+$AC53/Keys!$C$7^ROUNDUP((I$8-Keys!$C$6)/Keys!$C$8,0))</f>
        <v>1117.2075599049722</v>
      </c>
      <c r="J53">
        <f>I53*(1+$AC53/Keys!$C$7^ROUNDUP((J$8-Keys!$C$6)/Keys!$C$8,0))</f>
        <v>1115.4179909819677</v>
      </c>
      <c r="K53">
        <f>J53*(1+$AC53/Keys!$C$7^ROUNDUP((K$8-Keys!$C$6)/Keys!$C$8,0))</f>
        <v>1113.6312886318769</v>
      </c>
      <c r="L53">
        <f>K53*(1+$AC53/Keys!$C$7^ROUNDUP((L$8-Keys!$C$6)/Keys!$C$8,0))</f>
        <v>1111.847448262957</v>
      </c>
      <c r="M53">
        <f>L53*(1+$AC53/Keys!$C$7^ROUNDUP((M$8-Keys!$C$6)/Keys!$C$8,0))</f>
        <v>1110.0664652908201</v>
      </c>
      <c r="N53">
        <f>M53*(1+$AC53/Keys!$C$7^ROUNDUP((N$8-Keys!$C$6)/Keys!$C$8,0))</f>
        <v>1109.6219327527208</v>
      </c>
      <c r="O53">
        <f>N53*(1+$AC53/Keys!$C$7^ROUNDUP((O$8-Keys!$C$6)/Keys!$C$8,0))</f>
        <v>1109.1775782302479</v>
      </c>
      <c r="P53">
        <f>O53*(1+$AC53/Keys!$C$7^ROUNDUP((P$8-Keys!$C$6)/Keys!$C$8,0))</f>
        <v>1108.7334016521145</v>
      </c>
      <c r="Q53">
        <f>P53*(1+$AC53/Keys!$C$7^ROUNDUP((Q$8-Keys!$C$6)/Keys!$C$8,0))</f>
        <v>1108.2894029470613</v>
      </c>
      <c r="R53">
        <f>Q53*(1+$AC53/Keys!$C$7^ROUNDUP((R$8-Keys!$C$6)/Keys!$C$8,0))</f>
        <v>1107.8455820438583</v>
      </c>
      <c r="S53">
        <f>R53*(1+$AC53/Keys!$C$7^ROUNDUP((S$8-Keys!$C$6)/Keys!$C$8,0))</f>
        <v>1107.7346712507197</v>
      </c>
      <c r="T53">
        <f>S53*(1+$AC53/Keys!$C$7^ROUNDUP((T$8-Keys!$C$6)/Keys!$C$8,0))</f>
        <v>1107.6237715612981</v>
      </c>
      <c r="U53">
        <f>T53*(1+$AC53/Keys!$C$7^ROUNDUP((U$8-Keys!$C$6)/Keys!$C$8,0))</f>
        <v>1107.5128829744822</v>
      </c>
      <c r="V53">
        <f>U53*(1+$AC53/Keys!$C$7^ROUNDUP((V$8-Keys!$C$6)/Keys!$C$8,0))</f>
        <v>1107.4020054891603</v>
      </c>
      <c r="W53">
        <f>V53*(1+$AC53/Keys!$C$7^ROUNDUP((W$8-Keys!$C$6)/Keys!$C$8,0))</f>
        <v>1107.291139104221</v>
      </c>
      <c r="X53">
        <f>W53*(1+$AC53/Keys!$C$7^ROUNDUP((X$8-Keys!$C$6)/Keys!$C$8,0))</f>
        <v>1107.2634252828041</v>
      </c>
      <c r="Y53">
        <f>X53*(1+$AC53/Keys!$C$7^ROUNDUP((Y$8-Keys!$C$6)/Keys!$C$8,0))</f>
        <v>1107.2357121550222</v>
      </c>
      <c r="Z53">
        <f>Y53*(1+$AC53/Keys!$C$7^ROUNDUP((Z$8-Keys!$C$6)/Keys!$C$8,0))</f>
        <v>1107.2079997208577</v>
      </c>
      <c r="AA53">
        <f>Z53*(1+$AC53/Keys!$C$7^ROUNDUP((AA$8-Keys!$C$6)/Keys!$C$8,0))</f>
        <v>1107.1802879802938</v>
      </c>
      <c r="AB53">
        <f>AA53*(1+$AC53/Keys!$C$7^ROUNDUP((AB$8-Keys!$C$6)/Keys!$C$8,0))</f>
        <v>1107.1525769333127</v>
      </c>
      <c r="AC53">
        <f>IFERROR((EPRI_PI2026!$H$48/EPRI_PI2026!$F$48)^(1/6)-1,0)</f>
        <v>-6.4072925648898105E-3</v>
      </c>
    </row>
    <row r="54" spans="1:29" x14ac:dyDescent="0.45">
      <c r="A54" t="s">
        <v>115</v>
      </c>
      <c r="B54">
        <v>0</v>
      </c>
      <c r="C54">
        <f t="shared" si="4"/>
        <v>0</v>
      </c>
      <c r="D54">
        <f t="shared" si="4"/>
        <v>0</v>
      </c>
      <c r="E54">
        <f t="shared" si="4"/>
        <v>0</v>
      </c>
      <c r="F54">
        <f t="shared" si="4"/>
        <v>0</v>
      </c>
      <c r="G54">
        <f t="shared" si="4"/>
        <v>0</v>
      </c>
      <c r="H54">
        <f t="shared" si="4"/>
        <v>0</v>
      </c>
      <c r="I54">
        <f>H54*(1+$AC54/Keys!$C$7^ROUNDUP((I$8-Keys!$C$6)/Keys!$C$8,0))</f>
        <v>0</v>
      </c>
      <c r="J54">
        <f>I54*(1+$AC54/Keys!$C$7^ROUNDUP((J$8-Keys!$C$6)/Keys!$C$8,0))</f>
        <v>0</v>
      </c>
      <c r="K54">
        <f>J54*(1+$AC54/Keys!$C$7^ROUNDUP((K$8-Keys!$C$6)/Keys!$C$8,0))</f>
        <v>0</v>
      </c>
      <c r="L54">
        <f>K54*(1+$AC54/Keys!$C$7^ROUNDUP((L$8-Keys!$C$6)/Keys!$C$8,0))</f>
        <v>0</v>
      </c>
      <c r="M54">
        <f>L54*(1+$AC54/Keys!$C$7^ROUNDUP((M$8-Keys!$C$6)/Keys!$C$8,0))</f>
        <v>0</v>
      </c>
      <c r="N54">
        <f>M54*(1+$AC54/Keys!$C$7^ROUNDUP((N$8-Keys!$C$6)/Keys!$C$8,0))</f>
        <v>0</v>
      </c>
      <c r="O54">
        <f>N54*(1+$AC54/Keys!$C$7^ROUNDUP((O$8-Keys!$C$6)/Keys!$C$8,0))</f>
        <v>0</v>
      </c>
      <c r="P54">
        <f>O54*(1+$AC54/Keys!$C$7^ROUNDUP((P$8-Keys!$C$6)/Keys!$C$8,0))</f>
        <v>0</v>
      </c>
      <c r="Q54">
        <f>P54*(1+$AC54/Keys!$C$7^ROUNDUP((Q$8-Keys!$C$6)/Keys!$C$8,0))</f>
        <v>0</v>
      </c>
      <c r="R54">
        <f>Q54*(1+$AC54/Keys!$C$7^ROUNDUP((R$8-Keys!$C$6)/Keys!$C$8,0))</f>
        <v>0</v>
      </c>
      <c r="S54">
        <f>R54*(1+$AC54/Keys!$C$7^ROUNDUP((S$8-Keys!$C$6)/Keys!$C$8,0))</f>
        <v>0</v>
      </c>
      <c r="T54">
        <f>S54*(1+$AC54/Keys!$C$7^ROUNDUP((T$8-Keys!$C$6)/Keys!$C$8,0))</f>
        <v>0</v>
      </c>
      <c r="U54">
        <f>T54*(1+$AC54/Keys!$C$7^ROUNDUP((U$8-Keys!$C$6)/Keys!$C$8,0))</f>
        <v>0</v>
      </c>
      <c r="V54">
        <f>U54*(1+$AC54/Keys!$C$7^ROUNDUP((V$8-Keys!$C$6)/Keys!$C$8,0))</f>
        <v>0</v>
      </c>
      <c r="W54">
        <f>V54*(1+$AC54/Keys!$C$7^ROUNDUP((W$8-Keys!$C$6)/Keys!$C$8,0))</f>
        <v>0</v>
      </c>
      <c r="X54">
        <f>W54*(1+$AC54/Keys!$C$7^ROUNDUP((X$8-Keys!$C$6)/Keys!$C$8,0))</f>
        <v>0</v>
      </c>
      <c r="Y54">
        <f>X54*(1+$AC54/Keys!$C$7^ROUNDUP((Y$8-Keys!$C$6)/Keys!$C$8,0))</f>
        <v>0</v>
      </c>
      <c r="Z54">
        <f>Y54*(1+$AC54/Keys!$C$7^ROUNDUP((Z$8-Keys!$C$6)/Keys!$C$8,0))</f>
        <v>0</v>
      </c>
      <c r="AA54">
        <f>Z54*(1+$AC54/Keys!$C$7^ROUNDUP((AA$8-Keys!$C$6)/Keys!$C$8,0))</f>
        <v>0</v>
      </c>
      <c r="AB54">
        <f>AA54*(1+$AC54/Keys!$C$7^ROUNDUP((AB$8-Keys!$C$6)/Keys!$C$8,0))</f>
        <v>0</v>
      </c>
      <c r="AC54">
        <v>0</v>
      </c>
    </row>
    <row r="55" spans="1:29" x14ac:dyDescent="0.45">
      <c r="A55" t="s">
        <v>117</v>
      </c>
      <c r="B55">
        <f>IFERROR(EPRI_PI2026!$F$49,0)</f>
        <v>83</v>
      </c>
      <c r="C55">
        <f t="shared" si="4"/>
        <v>92.006504309483077</v>
      </c>
      <c r="D55">
        <f t="shared" si="4"/>
        <v>101.99032331627625</v>
      </c>
      <c r="E55">
        <f t="shared" si="4"/>
        <v>113.05750749065714</v>
      </c>
      <c r="F55">
        <f t="shared" si="4"/>
        <v>125.32561506215134</v>
      </c>
      <c r="G55">
        <f t="shared" si="4"/>
        <v>138.92496075065597</v>
      </c>
      <c r="H55">
        <f t="shared" si="4"/>
        <v>153.99999999999994</v>
      </c>
      <c r="I55">
        <f>H55*(1+$AC55/Keys!$C$7^ROUNDUP((I$8-Keys!$C$6)/Keys!$C$8,0))</f>
        <v>158.17771585439871</v>
      </c>
      <c r="J55">
        <f>I55*(1+$AC55/Keys!$C$7^ROUNDUP((J$8-Keys!$C$6)/Keys!$C$8,0))</f>
        <v>162.46876488905784</v>
      </c>
      <c r="K55">
        <f>J55*(1+$AC55/Keys!$C$7^ROUNDUP((K$8-Keys!$C$6)/Keys!$C$8,0))</f>
        <v>166.87622160932798</v>
      </c>
      <c r="L55">
        <f>K55*(1+$AC55/Keys!$C$7^ROUNDUP((L$8-Keys!$C$6)/Keys!$C$8,0))</f>
        <v>171.40324392581795</v>
      </c>
      <c r="M55">
        <f>L55*(1+$AC55/Keys!$C$7^ROUNDUP((M$8-Keys!$C$6)/Keys!$C$8,0))</f>
        <v>176.0530754170145</v>
      </c>
      <c r="N55">
        <f>M55*(1+$AC55/Keys!$C$7^ROUNDUP((N$8-Keys!$C$6)/Keys!$C$8,0))</f>
        <v>177.24706847608158</v>
      </c>
      <c r="O55">
        <f>N55*(1+$AC55/Keys!$C$7^ROUNDUP((O$8-Keys!$C$6)/Keys!$C$8,0))</f>
        <v>178.44915920354623</v>
      </c>
      <c r="P55">
        <f>O55*(1+$AC55/Keys!$C$7^ROUNDUP((P$8-Keys!$C$6)/Keys!$C$8,0))</f>
        <v>179.65940251784622</v>
      </c>
      <c r="Q55">
        <f>P55*(1+$AC55/Keys!$C$7^ROUNDUP((Q$8-Keys!$C$6)/Keys!$C$8,0))</f>
        <v>180.87785370987643</v>
      </c>
      <c r="R55">
        <f>Q55*(1+$AC55/Keys!$C$7^ROUNDUP((R$8-Keys!$C$6)/Keys!$C$8,0))</f>
        <v>182.10456844551501</v>
      </c>
      <c r="S55">
        <f>R55*(1+$AC55/Keys!$C$7^ROUNDUP((S$8-Keys!$C$6)/Keys!$C$8,0))</f>
        <v>182.41332702617788</v>
      </c>
      <c r="T55">
        <f>S55*(1+$AC55/Keys!$C$7^ROUNDUP((T$8-Keys!$C$6)/Keys!$C$8,0))</f>
        <v>182.72260910749725</v>
      </c>
      <c r="U55">
        <f>T55*(1+$AC55/Keys!$C$7^ROUNDUP((U$8-Keys!$C$6)/Keys!$C$8,0))</f>
        <v>183.03241557706929</v>
      </c>
      <c r="V55">
        <f>U55*(1+$AC55/Keys!$C$7^ROUNDUP((V$8-Keys!$C$6)/Keys!$C$8,0))</f>
        <v>183.3427473239951</v>
      </c>
      <c r="W55">
        <f>V55*(1+$AC55/Keys!$C$7^ROUNDUP((W$8-Keys!$C$6)/Keys!$C$8,0))</f>
        <v>183.65360523888327</v>
      </c>
      <c r="X55">
        <f>W55*(1+$AC55/Keys!$C$7^ROUNDUP((X$8-Keys!$C$6)/Keys!$C$8,0))</f>
        <v>183.73145148262554</v>
      </c>
      <c r="Y55">
        <f>X55*(1+$AC55/Keys!$C$7^ROUNDUP((Y$8-Keys!$C$6)/Keys!$C$8,0))</f>
        <v>183.80933072347483</v>
      </c>
      <c r="Z55">
        <f>Y55*(1+$AC55/Keys!$C$7^ROUNDUP((Z$8-Keys!$C$6)/Keys!$C$8,0))</f>
        <v>183.88724297541779</v>
      </c>
      <c r="AA55">
        <f>Z55*(1+$AC55/Keys!$C$7^ROUNDUP((AA$8-Keys!$C$6)/Keys!$C$8,0))</f>
        <v>183.96518825244701</v>
      </c>
      <c r="AB55">
        <f>AA55*(1+$AC55/Keys!$C$7^ROUNDUP((AB$8-Keys!$C$6)/Keys!$C$8,0))</f>
        <v>184.04316656856102</v>
      </c>
      <c r="AC55">
        <f>IFERROR((EPRI_PI2026!$H$49/EPRI_PI2026!$F$49)^(1/6)-1,0)</f>
        <v>0.10851210011425394</v>
      </c>
    </row>
    <row r="56" spans="1:29" x14ac:dyDescent="0.45">
      <c r="A56" t="s">
        <v>119</v>
      </c>
      <c r="B56">
        <f>IFERROR(EPRI_PI2026!$F$50,0)</f>
        <v>341</v>
      </c>
      <c r="C56">
        <f t="shared" si="4"/>
        <v>358.83281133204338</v>
      </c>
      <c r="D56">
        <f t="shared" si="4"/>
        <v>377.5982008459174</v>
      </c>
      <c r="E56">
        <f t="shared" si="4"/>
        <v>397.34493830927306</v>
      </c>
      <c r="F56">
        <f t="shared" si="4"/>
        <v>418.12434393570027</v>
      </c>
      <c r="G56">
        <f t="shared" si="4"/>
        <v>439.99042176191659</v>
      </c>
      <c r="H56">
        <f t="shared" si="4"/>
        <v>463.00000000000006</v>
      </c>
      <c r="I56">
        <f>H56*(1+$AC56/Keys!$C$7^ROUNDUP((I$8-Keys!$C$6)/Keys!$C$8,0))</f>
        <v>469.05321968235791</v>
      </c>
      <c r="J56">
        <f>I56*(1+$AC56/Keys!$C$7^ROUNDUP((J$8-Keys!$C$6)/Keys!$C$8,0))</f>
        <v>475.18557860558593</v>
      </c>
      <c r="K56">
        <f>J56*(1+$AC56/Keys!$C$7^ROUNDUP((K$8-Keys!$C$6)/Keys!$C$8,0))</f>
        <v>481.39811142888601</v>
      </c>
      <c r="L56">
        <f>K56*(1+$AC56/Keys!$C$7^ROUNDUP((L$8-Keys!$C$6)/Keys!$C$8,0))</f>
        <v>487.69186633849989</v>
      </c>
      <c r="M56">
        <f>L56*(1+$AC56/Keys!$C$7^ROUNDUP((M$8-Keys!$C$6)/Keys!$C$8,0))</f>
        <v>494.06790522456043</v>
      </c>
      <c r="N56">
        <f>M56*(1+$AC56/Keys!$C$7^ROUNDUP((N$8-Keys!$C$6)/Keys!$C$8,0))</f>
        <v>495.68275488348417</v>
      </c>
      <c r="O56">
        <f>N56*(1+$AC56/Keys!$C$7^ROUNDUP((O$8-Keys!$C$6)/Keys!$C$8,0))</f>
        <v>497.30288264161925</v>
      </c>
      <c r="P56">
        <f>O56*(1+$AC56/Keys!$C$7^ROUNDUP((P$8-Keys!$C$6)/Keys!$C$8,0))</f>
        <v>498.92830575031235</v>
      </c>
      <c r="Q56">
        <f>P56*(1+$AC56/Keys!$C$7^ROUNDUP((Q$8-Keys!$C$6)/Keys!$C$8,0))</f>
        <v>500.55904151729578</v>
      </c>
      <c r="R56">
        <f>Q56*(1+$AC56/Keys!$C$7^ROUNDUP((R$8-Keys!$C$6)/Keys!$C$8,0))</f>
        <v>502.19510730687182</v>
      </c>
      <c r="S56">
        <f>R56*(1+$AC56/Keys!$C$7^ROUNDUP((S$8-Keys!$C$6)/Keys!$C$8,0))</f>
        <v>502.60546061517817</v>
      </c>
      <c r="T56">
        <f>S56*(1+$AC56/Keys!$C$7^ROUNDUP((T$8-Keys!$C$6)/Keys!$C$8,0))</f>
        <v>503.01614923108747</v>
      </c>
      <c r="U56">
        <f>T56*(1+$AC56/Keys!$C$7^ROUNDUP((U$8-Keys!$C$6)/Keys!$C$8,0))</f>
        <v>503.427173428586</v>
      </c>
      <c r="V56">
        <f>U56*(1+$AC56/Keys!$C$7^ROUNDUP((V$8-Keys!$C$6)/Keys!$C$8,0))</f>
        <v>503.83853348188399</v>
      </c>
      <c r="W56">
        <f>V56*(1+$AC56/Keys!$C$7^ROUNDUP((W$8-Keys!$C$6)/Keys!$C$8,0))</f>
        <v>504.25022966541565</v>
      </c>
      <c r="X56">
        <f>W56*(1+$AC56/Keys!$C$7^ROUNDUP((X$8-Keys!$C$6)/Keys!$C$8,0))</f>
        <v>504.35323781252157</v>
      </c>
      <c r="Y56">
        <f>X56*(1+$AC56/Keys!$C$7^ROUNDUP((Y$8-Keys!$C$6)/Keys!$C$8,0))</f>
        <v>504.45626700211346</v>
      </c>
      <c r="Z56">
        <f>Y56*(1+$AC56/Keys!$C$7^ROUNDUP((Z$8-Keys!$C$6)/Keys!$C$8,0))</f>
        <v>504.55931723848983</v>
      </c>
      <c r="AA56">
        <f>Z56*(1+$AC56/Keys!$C$7^ROUNDUP((AA$8-Keys!$C$6)/Keys!$C$8,0))</f>
        <v>504.66238852595012</v>
      </c>
      <c r="AB56">
        <f>AA56*(1+$AC56/Keys!$C$7^ROUNDUP((AB$8-Keys!$C$6)/Keys!$C$8,0))</f>
        <v>504.76548086879467</v>
      </c>
      <c r="AC56">
        <f>IFERROR((EPRI_PI2026!$H$50/EPRI_PI2026!$F$50)^(1/6)-1,0)</f>
        <v>5.2295634404819324E-2</v>
      </c>
    </row>
    <row r="57" spans="1:29" x14ac:dyDescent="0.45">
      <c r="A57" s="1" t="s">
        <v>250</v>
      </c>
      <c r="B57">
        <f t="shared" ref="B57:AB57" si="5">SUM(B9:B56)</f>
        <v>39766</v>
      </c>
      <c r="C57">
        <f t="shared" si="5"/>
        <v>41603.893716153943</v>
      </c>
      <c r="D57">
        <f t="shared" si="5"/>
        <v>43676.718117399723</v>
      </c>
      <c r="E57">
        <f t="shared" si="5"/>
        <v>46042.285676689811</v>
      </c>
      <c r="F57">
        <f t="shared" si="5"/>
        <v>48786.989334279548</v>
      </c>
      <c r="G57">
        <f t="shared" si="5"/>
        <v>52047.25930218953</v>
      </c>
      <c r="H57">
        <f t="shared" si="5"/>
        <v>56050.999999999985</v>
      </c>
      <c r="I57">
        <f t="shared" si="5"/>
        <v>57338.15700760662</v>
      </c>
      <c r="J57">
        <f t="shared" si="5"/>
        <v>58743.148275040556</v>
      </c>
      <c r="K57">
        <f t="shared" si="5"/>
        <v>60288.133462522797</v>
      </c>
      <c r="L57">
        <f t="shared" si="5"/>
        <v>62000.654540481672</v>
      </c>
      <c r="M57">
        <f t="shared" si="5"/>
        <v>63915.059159456912</v>
      </c>
      <c r="N57">
        <f t="shared" si="5"/>
        <v>64454.872550458233</v>
      </c>
      <c r="O57">
        <f t="shared" si="5"/>
        <v>65013.357216306031</v>
      </c>
      <c r="P57">
        <f t="shared" si="5"/>
        <v>65591.571898128561</v>
      </c>
      <c r="Q57">
        <f t="shared" si="5"/>
        <v>66190.644162010707</v>
      </c>
      <c r="R57">
        <f t="shared" si="5"/>
        <v>66811.77507185658</v>
      </c>
      <c r="S57">
        <f t="shared" si="5"/>
        <v>66972.892350072725</v>
      </c>
      <c r="T57">
        <f t="shared" si="5"/>
        <v>67135.553477877882</v>
      </c>
      <c r="U57">
        <f t="shared" si="5"/>
        <v>67299.781157346806</v>
      </c>
      <c r="V57">
        <f t="shared" si="5"/>
        <v>67465.598464170747</v>
      </c>
      <c r="W57">
        <f t="shared" si="5"/>
        <v>67633.028854029995</v>
      </c>
      <c r="X57">
        <f t="shared" si="5"/>
        <v>67675.295682791664</v>
      </c>
      <c r="Y57">
        <f t="shared" si="5"/>
        <v>67717.666334078633</v>
      </c>
      <c r="Z57">
        <f t="shared" si="5"/>
        <v>67760.141192812691</v>
      </c>
      <c r="AA57">
        <f t="shared" si="5"/>
        <v>67802.720645503941</v>
      </c>
      <c r="AB57">
        <f t="shared" si="5"/>
        <v>67845.405080257362</v>
      </c>
    </row>
    <row r="59" spans="1:29" x14ac:dyDescent="0.45">
      <c r="A59" s="1" t="s">
        <v>251</v>
      </c>
    </row>
    <row r="60" spans="1:29" x14ac:dyDescent="0.45">
      <c r="A60" s="1" t="s">
        <v>248</v>
      </c>
      <c r="B60" s="1">
        <v>2024</v>
      </c>
      <c r="C60" s="1">
        <v>2025</v>
      </c>
      <c r="D60" s="1">
        <v>2026</v>
      </c>
      <c r="E60" s="1">
        <v>2027</v>
      </c>
      <c r="F60" s="1">
        <v>2028</v>
      </c>
      <c r="G60" s="1">
        <v>2029</v>
      </c>
      <c r="H60" s="1">
        <v>2030</v>
      </c>
      <c r="I60" s="1">
        <v>2031</v>
      </c>
      <c r="J60" s="1">
        <v>2032</v>
      </c>
      <c r="K60" s="1">
        <v>2033</v>
      </c>
      <c r="L60" s="1">
        <v>2034</v>
      </c>
      <c r="M60" s="1">
        <v>2035</v>
      </c>
      <c r="N60" s="1">
        <v>2036</v>
      </c>
      <c r="O60" s="1">
        <v>2037</v>
      </c>
      <c r="P60" s="1">
        <v>2038</v>
      </c>
      <c r="Q60" s="1">
        <v>2039</v>
      </c>
      <c r="R60" s="1">
        <v>2040</v>
      </c>
      <c r="S60" s="1">
        <v>2041</v>
      </c>
      <c r="T60" s="1">
        <v>2042</v>
      </c>
      <c r="U60" s="1">
        <v>2043</v>
      </c>
      <c r="V60" s="1">
        <v>2044</v>
      </c>
      <c r="W60" s="1">
        <v>2045</v>
      </c>
      <c r="X60" s="1">
        <v>2046</v>
      </c>
      <c r="Y60" s="1">
        <v>2047</v>
      </c>
      <c r="Z60" s="1">
        <v>2048</v>
      </c>
      <c r="AA60" s="1">
        <v>2049</v>
      </c>
      <c r="AB60" s="1">
        <v>2050</v>
      </c>
      <c r="AC60" s="1" t="s">
        <v>249</v>
      </c>
    </row>
    <row r="61" spans="1:29" x14ac:dyDescent="0.45">
      <c r="A61" t="s">
        <v>6</v>
      </c>
      <c r="B61">
        <f>IFERROR(EPRI_PI2026!$F$2,0)</f>
        <v>353</v>
      </c>
      <c r="C61">
        <f t="shared" ref="C61:H70" si="6">B61*(1+$AC61)</f>
        <v>402.86668498327066</v>
      </c>
      <c r="D61">
        <f t="shared" si="6"/>
        <v>459.77780699549533</v>
      </c>
      <c r="E61">
        <f t="shared" si="6"/>
        <v>524.72850122706302</v>
      </c>
      <c r="F61">
        <f t="shared" si="6"/>
        <v>598.85448103565716</v>
      </c>
      <c r="G61">
        <f t="shared" si="6"/>
        <v>683.45189677680492</v>
      </c>
      <c r="H61">
        <f t="shared" si="6"/>
        <v>779.99999999999966</v>
      </c>
      <c r="I61">
        <f>H61*(1+$AC61/Keys!$C$7^ROUNDUP((I$60-Keys!$C$6)/Keys!$C$8,0))</f>
        <v>807.54675232786872</v>
      </c>
      <c r="J61">
        <f>I61*(1+$AC61/Keys!$C$7^ROUNDUP((J$60-Keys!$C$6)/Keys!$C$8,0))</f>
        <v>836.06635537857494</v>
      </c>
      <c r="K61">
        <f>J61*(1+$AC61/Keys!$C$7^ROUNDUP((K$60-Keys!$C$6)/Keys!$C$8,0))</f>
        <v>865.59316668790541</v>
      </c>
      <c r="L61">
        <f>K61*(1+$AC61/Keys!$C$7^ROUNDUP((L$60-Keys!$C$6)/Keys!$C$8,0))</f>
        <v>896.16275717437679</v>
      </c>
      <c r="M61">
        <f>L61*(1+$AC61/Keys!$C$7^ROUNDUP((M$60-Keys!$C$6)/Keys!$C$8,0))</f>
        <v>927.81195399148305</v>
      </c>
      <c r="N61">
        <f>M61*(1+$AC61/Keys!$C$7^ROUNDUP((N$60-Keys!$C$6)/Keys!$C$8,0))</f>
        <v>936.00368671694434</v>
      </c>
      <c r="O61">
        <f>N61*(1+$AC61/Keys!$C$7^ROUNDUP((O$60-Keys!$C$6)/Keys!$C$8,0))</f>
        <v>944.26774496565065</v>
      </c>
      <c r="P61">
        <f>O61*(1+$AC61/Keys!$C$7^ROUNDUP((P$60-Keys!$C$6)/Keys!$C$8,0))</f>
        <v>952.60476730595963</v>
      </c>
      <c r="Q61">
        <f>P61*(1+$AC61/Keys!$C$7^ROUNDUP((Q$60-Keys!$C$6)/Keys!$C$8,0))</f>
        <v>961.01539794420455</v>
      </c>
      <c r="R61">
        <f>Q61*(1+$AC61/Keys!$C$7^ROUNDUP((R$60-Keys!$C$6)/Keys!$C$8,0))</f>
        <v>969.5002867744729</v>
      </c>
      <c r="S61">
        <f>R61*(1+$AC61/Keys!$C$7^ROUNDUP((S$60-Keys!$C$6)/Keys!$C$8,0))</f>
        <v>971.64023743806069</v>
      </c>
      <c r="T61">
        <f>S61*(1+$AC61/Keys!$C$7^ROUNDUP((T$60-Keys!$C$6)/Keys!$C$8,0))</f>
        <v>973.78491155444681</v>
      </c>
      <c r="U61">
        <f>T61*(1+$AC61/Keys!$C$7^ROUNDUP((U$60-Keys!$C$6)/Keys!$C$8,0))</f>
        <v>975.93431954957555</v>
      </c>
      <c r="V61">
        <f>U61*(1+$AC61/Keys!$C$7^ROUNDUP((V$60-Keys!$C$6)/Keys!$C$8,0))</f>
        <v>978.08847187240417</v>
      </c>
      <c r="W61">
        <f>V61*(1+$AC61/Keys!$C$7^ROUNDUP((W$60-Keys!$C$6)/Keys!$C$8,0))</f>
        <v>980.24737899495335</v>
      </c>
      <c r="X61">
        <f>W61*(1+$AC61/Keys!$C$7^ROUNDUP((X$60-Keys!$C$6)/Keys!$C$8,0))</f>
        <v>980.78829709930471</v>
      </c>
      <c r="Y61">
        <f>X61*(1+$AC61/Keys!$C$7^ROUNDUP((Y$60-Keys!$C$6)/Keys!$C$8,0))</f>
        <v>981.32951369197838</v>
      </c>
      <c r="Z61">
        <f>Y61*(1+$AC61/Keys!$C$7^ROUNDUP((Z$60-Keys!$C$6)/Keys!$C$8,0))</f>
        <v>981.87102893768565</v>
      </c>
      <c r="AA61">
        <f>Z61*(1+$AC61/Keys!$C$7^ROUNDUP((AA$60-Keys!$C$6)/Keys!$C$8,0))</f>
        <v>982.41284300122857</v>
      </c>
      <c r="AB61">
        <f>AA61*(1+$AC61/Keys!$C$7^ROUNDUP((AB$60-Keys!$C$6)/Keys!$C$8,0))</f>
        <v>982.9549560475001</v>
      </c>
      <c r="AC61">
        <f>IFERROR((EPRI_PI2026!$I$2/EPRI_PI2026!$F$2)^(1/6)-1,0)</f>
        <v>0.14126539655317472</v>
      </c>
    </row>
    <row r="62" spans="1:29" x14ac:dyDescent="0.45">
      <c r="A62" t="s">
        <v>8</v>
      </c>
      <c r="B62">
        <f>IFERROR(EPRI_PI2026!$F$5,0)</f>
        <v>1864</v>
      </c>
      <c r="C62">
        <f t="shared" si="6"/>
        <v>2103.8014891482871</v>
      </c>
      <c r="D62">
        <f t="shared" si="6"/>
        <v>2374.4531683168188</v>
      </c>
      <c r="E62">
        <f t="shared" si="6"/>
        <v>2679.9238795159827</v>
      </c>
      <c r="F62">
        <f t="shared" si="6"/>
        <v>3024.693051786362</v>
      </c>
      <c r="G62">
        <f t="shared" si="6"/>
        <v>3413.8163876419667</v>
      </c>
      <c r="H62">
        <f t="shared" si="6"/>
        <v>3852.9999999999977</v>
      </c>
      <c r="I62">
        <f>H62*(1+$AC62/Keys!$C$7^ROUNDUP((I$60-Keys!$C$6)/Keys!$C$8,0))</f>
        <v>3976.9210216856673</v>
      </c>
      <c r="J62">
        <f>I62*(1+$AC62/Keys!$C$7^ROUNDUP((J$60-Keys!$C$6)/Keys!$C$8,0))</f>
        <v>4104.8276181482952</v>
      </c>
      <c r="K62">
        <f>J62*(1+$AC62/Keys!$C$7^ROUNDUP((K$60-Keys!$C$6)/Keys!$C$8,0))</f>
        <v>4236.847974308298</v>
      </c>
      <c r="L62">
        <f>K62*(1+$AC62/Keys!$C$7^ROUNDUP((L$60-Keys!$C$6)/Keys!$C$8,0))</f>
        <v>4373.1143977973052</v>
      </c>
      <c r="M62">
        <f>L62*(1+$AC62/Keys!$C$7^ROUNDUP((M$60-Keys!$C$6)/Keys!$C$8,0))</f>
        <v>4513.7634515536911</v>
      </c>
      <c r="N62">
        <f>M62*(1+$AC62/Keys!$C$7^ROUNDUP((N$60-Keys!$C$6)/Keys!$C$8,0))</f>
        <v>4550.0566113359364</v>
      </c>
      <c r="O62">
        <f>N62*(1+$AC62/Keys!$C$7^ROUNDUP((O$60-Keys!$C$6)/Keys!$C$8,0))</f>
        <v>4586.6415882373367</v>
      </c>
      <c r="P62">
        <f>O62*(1+$AC62/Keys!$C$7^ROUNDUP((P$60-Keys!$C$6)/Keys!$C$8,0))</f>
        <v>4623.5207286292616</v>
      </c>
      <c r="Q62">
        <f>P62*(1+$AC62/Keys!$C$7^ROUNDUP((Q$60-Keys!$C$6)/Keys!$C$8,0))</f>
        <v>4660.6963977492078</v>
      </c>
      <c r="R62">
        <f>Q62*(1+$AC62/Keys!$C$7^ROUNDUP((R$60-Keys!$C$6)/Keys!$C$8,0))</f>
        <v>4698.1709798524907</v>
      </c>
      <c r="S62">
        <f>R62*(1+$AC62/Keys!$C$7^ROUNDUP((S$60-Keys!$C$6)/Keys!$C$8,0))</f>
        <v>4707.6149544806585</v>
      </c>
      <c r="T62">
        <f>S62*(1+$AC62/Keys!$C$7^ROUNDUP((T$60-Keys!$C$6)/Keys!$C$8,0))</f>
        <v>4717.0779128063459</v>
      </c>
      <c r="U62">
        <f>T62*(1+$AC62/Keys!$C$7^ROUNDUP((U$60-Keys!$C$6)/Keys!$C$8,0))</f>
        <v>4726.5598929894159</v>
      </c>
      <c r="V62">
        <f>U62*(1+$AC62/Keys!$C$7^ROUNDUP((V$60-Keys!$C$6)/Keys!$C$8,0))</f>
        <v>4736.0609332664362</v>
      </c>
      <c r="W62">
        <f>V62*(1+$AC62/Keys!$C$7^ROUNDUP((W$60-Keys!$C$6)/Keys!$C$8,0))</f>
        <v>4745.5810719508372</v>
      </c>
      <c r="X62">
        <f>W62*(1+$AC62/Keys!$C$7^ROUNDUP((X$60-Keys!$C$6)/Keys!$C$8,0))</f>
        <v>4747.9658908213942</v>
      </c>
      <c r="Y62">
        <f>X62*(1+$AC62/Keys!$C$7^ROUNDUP((Y$60-Keys!$C$6)/Keys!$C$8,0))</f>
        <v>4750.3519081460408</v>
      </c>
      <c r="Z62">
        <f>Y62*(1+$AC62/Keys!$C$7^ROUNDUP((Z$60-Keys!$C$6)/Keys!$C$8,0))</f>
        <v>4752.7391245270419</v>
      </c>
      <c r="AA62">
        <f>Z62*(1+$AC62/Keys!$C$7^ROUNDUP((AA$60-Keys!$C$6)/Keys!$C$8,0))</f>
        <v>4755.1275405669658</v>
      </c>
      <c r="AB62">
        <f>AA62*(1+$AC62/Keys!$C$7^ROUNDUP((AB$60-Keys!$C$6)/Keys!$C$8,0))</f>
        <v>4757.517156868681</v>
      </c>
      <c r="AC62">
        <f>IFERROR((EPRI_PI2026!$I$5/EPRI_PI2026!$F$5)^(1/6)-1,0)</f>
        <v>0.12864886756882354</v>
      </c>
    </row>
    <row r="63" spans="1:29" x14ac:dyDescent="0.45">
      <c r="A63" t="s">
        <v>11</v>
      </c>
      <c r="B63">
        <f>IFERROR(EPRI_PI2026!$F$4,0)</f>
        <v>11</v>
      </c>
      <c r="C63">
        <f t="shared" si="6"/>
        <v>11</v>
      </c>
      <c r="D63">
        <f t="shared" si="6"/>
        <v>11</v>
      </c>
      <c r="E63">
        <f t="shared" si="6"/>
        <v>11</v>
      </c>
      <c r="F63">
        <f t="shared" si="6"/>
        <v>11</v>
      </c>
      <c r="G63">
        <f t="shared" si="6"/>
        <v>11</v>
      </c>
      <c r="H63">
        <f t="shared" si="6"/>
        <v>11</v>
      </c>
      <c r="I63">
        <f>H63*(1+$AC63/Keys!$C$7^ROUNDUP((I$60-Keys!$C$6)/Keys!$C$8,0))</f>
        <v>11</v>
      </c>
      <c r="J63">
        <f>I63*(1+$AC63/Keys!$C$7^ROUNDUP((J$60-Keys!$C$6)/Keys!$C$8,0))</f>
        <v>11</v>
      </c>
      <c r="K63">
        <f>J63*(1+$AC63/Keys!$C$7^ROUNDUP((K$60-Keys!$C$6)/Keys!$C$8,0))</f>
        <v>11</v>
      </c>
      <c r="L63">
        <f>K63*(1+$AC63/Keys!$C$7^ROUNDUP((L$60-Keys!$C$6)/Keys!$C$8,0))</f>
        <v>11</v>
      </c>
      <c r="M63">
        <f>L63*(1+$AC63/Keys!$C$7^ROUNDUP((M$60-Keys!$C$6)/Keys!$C$8,0))</f>
        <v>11</v>
      </c>
      <c r="N63">
        <f>M63*(1+$AC63/Keys!$C$7^ROUNDUP((N$60-Keys!$C$6)/Keys!$C$8,0))</f>
        <v>11</v>
      </c>
      <c r="O63">
        <f>N63*(1+$AC63/Keys!$C$7^ROUNDUP((O$60-Keys!$C$6)/Keys!$C$8,0))</f>
        <v>11</v>
      </c>
      <c r="P63">
        <f>O63*(1+$AC63/Keys!$C$7^ROUNDUP((P$60-Keys!$C$6)/Keys!$C$8,0))</f>
        <v>11</v>
      </c>
      <c r="Q63">
        <f>P63*(1+$AC63/Keys!$C$7^ROUNDUP((Q$60-Keys!$C$6)/Keys!$C$8,0))</f>
        <v>11</v>
      </c>
      <c r="R63">
        <f>Q63*(1+$AC63/Keys!$C$7^ROUNDUP((R$60-Keys!$C$6)/Keys!$C$8,0))</f>
        <v>11</v>
      </c>
      <c r="S63">
        <f>R63*(1+$AC63/Keys!$C$7^ROUNDUP((S$60-Keys!$C$6)/Keys!$C$8,0))</f>
        <v>11</v>
      </c>
      <c r="T63">
        <f>S63*(1+$AC63/Keys!$C$7^ROUNDUP((T$60-Keys!$C$6)/Keys!$C$8,0))</f>
        <v>11</v>
      </c>
      <c r="U63">
        <f>T63*(1+$AC63/Keys!$C$7^ROUNDUP((U$60-Keys!$C$6)/Keys!$C$8,0))</f>
        <v>11</v>
      </c>
      <c r="V63">
        <f>U63*(1+$AC63/Keys!$C$7^ROUNDUP((V$60-Keys!$C$6)/Keys!$C$8,0))</f>
        <v>11</v>
      </c>
      <c r="W63">
        <f>V63*(1+$AC63/Keys!$C$7^ROUNDUP((W$60-Keys!$C$6)/Keys!$C$8,0))</f>
        <v>11</v>
      </c>
      <c r="X63">
        <f>W63*(1+$AC63/Keys!$C$7^ROUNDUP((X$60-Keys!$C$6)/Keys!$C$8,0))</f>
        <v>11</v>
      </c>
      <c r="Y63">
        <f>X63*(1+$AC63/Keys!$C$7^ROUNDUP((Y$60-Keys!$C$6)/Keys!$C$8,0))</f>
        <v>11</v>
      </c>
      <c r="Z63">
        <f>Y63*(1+$AC63/Keys!$C$7^ROUNDUP((Z$60-Keys!$C$6)/Keys!$C$8,0))</f>
        <v>11</v>
      </c>
      <c r="AA63">
        <f>Z63*(1+$AC63/Keys!$C$7^ROUNDUP((AA$60-Keys!$C$6)/Keys!$C$8,0))</f>
        <v>11</v>
      </c>
      <c r="AB63">
        <f>AA63*(1+$AC63/Keys!$C$7^ROUNDUP((AB$60-Keys!$C$6)/Keys!$C$8,0))</f>
        <v>11</v>
      </c>
      <c r="AC63">
        <f>IFERROR((EPRI_PI2026!$I$4/EPRI_PI2026!$F$4)^(1/6)-1,0)</f>
        <v>0</v>
      </c>
    </row>
    <row r="64" spans="1:29" x14ac:dyDescent="0.45">
      <c r="A64" t="s">
        <v>13</v>
      </c>
      <c r="B64">
        <f>IFERROR(EPRI_PI2026!$F$6,0)</f>
        <v>1496</v>
      </c>
      <c r="C64">
        <f t="shared" si="6"/>
        <v>1606.7130035619707</v>
      </c>
      <c r="D64">
        <f t="shared" si="6"/>
        <v>1725.6194357053002</v>
      </c>
      <c r="E64">
        <f t="shared" si="6"/>
        <v>1853.3256594565346</v>
      </c>
      <c r="F64">
        <f t="shared" si="6"/>
        <v>1990.4829123555339</v>
      </c>
      <c r="G64">
        <f t="shared" si="6"/>
        <v>2137.7906274395314</v>
      </c>
      <c r="H64">
        <f t="shared" si="6"/>
        <v>2295.9999999999995</v>
      </c>
      <c r="I64">
        <f>H64*(1+$AC64/Keys!$C$7^ROUNDUP((I$60-Keys!$C$6)/Keys!$C$8,0))</f>
        <v>2338.4794545752475</v>
      </c>
      <c r="J64">
        <f>I64*(1+$AC64/Keys!$C$7^ROUNDUP((J$60-Keys!$C$6)/Keys!$C$8,0))</f>
        <v>2381.7448429749775</v>
      </c>
      <c r="K64">
        <f>J64*(1+$AC64/Keys!$C$7^ROUNDUP((K$60-Keys!$C$6)/Keys!$C$8,0))</f>
        <v>2425.8107061574628</v>
      </c>
      <c r="L64">
        <f>K64*(1+$AC64/Keys!$C$7^ROUNDUP((L$60-Keys!$C$6)/Keys!$C$8,0))</f>
        <v>2470.6918541105838</v>
      </c>
      <c r="M64">
        <f>L64*(1+$AC64/Keys!$C$7^ROUNDUP((M$60-Keys!$C$6)/Keys!$C$8,0))</f>
        <v>2516.4033708292795</v>
      </c>
      <c r="N64">
        <f>M64*(1+$AC64/Keys!$C$7^ROUNDUP((N$60-Keys!$C$6)/Keys!$C$8,0))</f>
        <v>2528.0426829682324</v>
      </c>
      <c r="O64">
        <f>N64*(1+$AC64/Keys!$C$7^ROUNDUP((O$60-Keys!$C$6)/Keys!$C$8,0))</f>
        <v>2539.7358313039726</v>
      </c>
      <c r="P64">
        <f>O64*(1+$AC64/Keys!$C$7^ROUNDUP((P$60-Keys!$C$6)/Keys!$C$8,0))</f>
        <v>2551.4830648491607</v>
      </c>
      <c r="Q64">
        <f>P64*(1+$AC64/Keys!$C$7^ROUNDUP((Q$60-Keys!$C$6)/Keys!$C$8,0))</f>
        <v>2563.2846337682345</v>
      </c>
      <c r="R64">
        <f>Q64*(1+$AC64/Keys!$C$7^ROUNDUP((R$60-Keys!$C$6)/Keys!$C$8,0))</f>
        <v>2575.1407893827368</v>
      </c>
      <c r="S64">
        <f>R64*(1+$AC64/Keys!$C$7^ROUNDUP((S$60-Keys!$C$6)/Keys!$C$8,0))</f>
        <v>2578.118538081219</v>
      </c>
      <c r="T64">
        <f>S64*(1+$AC64/Keys!$C$7^ROUNDUP((T$60-Keys!$C$6)/Keys!$C$8,0))</f>
        <v>2581.0997300816553</v>
      </c>
      <c r="U64">
        <f>T64*(1+$AC64/Keys!$C$7^ROUNDUP((U$60-Keys!$C$6)/Keys!$C$8,0))</f>
        <v>2584.0843693656866</v>
      </c>
      <c r="V64">
        <f>U64*(1+$AC64/Keys!$C$7^ROUNDUP((V$60-Keys!$C$6)/Keys!$C$8,0))</f>
        <v>2587.0724599195596</v>
      </c>
      <c r="W64">
        <f>V64*(1+$AC64/Keys!$C$7^ROUNDUP((W$60-Keys!$C$6)/Keys!$C$8,0))</f>
        <v>2590.0640057341288</v>
      </c>
      <c r="X64">
        <f>W64*(1+$AC64/Keys!$C$7^ROUNDUP((X$60-Keys!$C$6)/Keys!$C$8,0))</f>
        <v>2590.8127570018132</v>
      </c>
      <c r="Y64">
        <f>X64*(1+$AC64/Keys!$C$7^ROUNDUP((Y$60-Keys!$C$6)/Keys!$C$8,0))</f>
        <v>2591.5617247230134</v>
      </c>
      <c r="Z64">
        <f>Y64*(1+$AC64/Keys!$C$7^ROUNDUP((Z$60-Keys!$C$6)/Keys!$C$8,0))</f>
        <v>2592.3109089603035</v>
      </c>
      <c r="AA64">
        <f>Z64*(1+$AC64/Keys!$C$7^ROUNDUP((AA$60-Keys!$C$6)/Keys!$C$8,0))</f>
        <v>2593.0603097762751</v>
      </c>
      <c r="AB64">
        <f>AA64*(1+$AC64/Keys!$C$7^ROUNDUP((AB$60-Keys!$C$6)/Keys!$C$8,0))</f>
        <v>2593.809927233538</v>
      </c>
      <c r="AC64">
        <f>IFERROR((EPRI_PI2026!$I$6/EPRI_PI2026!$F$6)^(1/6)-1,0)</f>
        <v>7.4006018423777187E-2</v>
      </c>
    </row>
    <row r="65" spans="1:29" x14ac:dyDescent="0.45">
      <c r="A65" t="s">
        <v>16</v>
      </c>
      <c r="B65">
        <f>IFERROR(EPRI_PI2026!$F$7,0)</f>
        <v>241</v>
      </c>
      <c r="C65">
        <f t="shared" si="6"/>
        <v>262.67037634627019</v>
      </c>
      <c r="D65">
        <f t="shared" si="6"/>
        <v>286.28932203274366</v>
      </c>
      <c r="E65">
        <f t="shared" si="6"/>
        <v>312.03204963593078</v>
      </c>
      <c r="F65">
        <f t="shared" si="6"/>
        <v>340.08952659737758</v>
      </c>
      <c r="G65">
        <f t="shared" si="6"/>
        <v>370.66989187866403</v>
      </c>
      <c r="H65">
        <f t="shared" si="6"/>
        <v>403.99999999999983</v>
      </c>
      <c r="I65">
        <f>H65*(1+$AC65/Keys!$C$7^ROUNDUP((I$60-Keys!$C$6)/Keys!$C$8,0))</f>
        <v>413.08177597914209</v>
      </c>
      <c r="J65">
        <f>I65*(1+$AC65/Keys!$C$7^ROUNDUP((J$60-Keys!$C$6)/Keys!$C$8,0))</f>
        <v>422.36770704475794</v>
      </c>
      <c r="K65">
        <f>J65*(1+$AC65/Keys!$C$7^ROUNDUP((K$60-Keys!$C$6)/Keys!$C$8,0))</f>
        <v>431.86238253041256</v>
      </c>
      <c r="L65">
        <f>K65*(1+$AC65/Keys!$C$7^ROUNDUP((L$60-Keys!$C$6)/Keys!$C$8,0))</f>
        <v>441.57049493625374</v>
      </c>
      <c r="M65">
        <f>L65*(1+$AC65/Keys!$C$7^ROUNDUP((M$60-Keys!$C$6)/Keys!$C$8,0))</f>
        <v>451.49684224815974</v>
      </c>
      <c r="N65">
        <f>M65*(1+$AC65/Keys!$C$7^ROUNDUP((N$60-Keys!$C$6)/Keys!$C$8,0))</f>
        <v>454.03421426337502</v>
      </c>
      <c r="O65">
        <f>N65*(1+$AC65/Keys!$C$7^ROUNDUP((O$60-Keys!$C$6)/Keys!$C$8,0))</f>
        <v>456.58584608318057</v>
      </c>
      <c r="P65">
        <f>O65*(1+$AC65/Keys!$C$7^ROUNDUP((P$60-Keys!$C$6)/Keys!$C$8,0))</f>
        <v>459.15181784640737</v>
      </c>
      <c r="Q65">
        <f>P65*(1+$AC65/Keys!$C$7^ROUNDUP((Q$60-Keys!$C$6)/Keys!$C$8,0))</f>
        <v>461.73221014225948</v>
      </c>
      <c r="R65">
        <f>Q65*(1+$AC65/Keys!$C$7^ROUNDUP((R$60-Keys!$C$6)/Keys!$C$8,0))</f>
        <v>464.32710401284498</v>
      </c>
      <c r="S65">
        <f>R65*(1+$AC65/Keys!$C$7^ROUNDUP((S$60-Keys!$C$6)/Keys!$C$8,0))</f>
        <v>464.97947324856415</v>
      </c>
      <c r="T65">
        <f>S65*(1+$AC65/Keys!$C$7^ROUNDUP((T$60-Keys!$C$6)/Keys!$C$8,0))</f>
        <v>465.63275904852441</v>
      </c>
      <c r="U65">
        <f>T65*(1+$AC65/Keys!$C$7^ROUNDUP((U$60-Keys!$C$6)/Keys!$C$8,0))</f>
        <v>466.28696270047806</v>
      </c>
      <c r="V65">
        <f>U65*(1+$AC65/Keys!$C$7^ROUNDUP((V$60-Keys!$C$6)/Keys!$C$8,0))</f>
        <v>466.94208549398678</v>
      </c>
      <c r="W65">
        <f>V65*(1+$AC65/Keys!$C$7^ROUNDUP((W$60-Keys!$C$6)/Keys!$C$8,0))</f>
        <v>467.59812872042397</v>
      </c>
      <c r="X65">
        <f>W65*(1+$AC65/Keys!$C$7^ROUNDUP((X$60-Keys!$C$6)/Keys!$C$8,0))</f>
        <v>467.76236995856226</v>
      </c>
      <c r="Y65">
        <f>X65*(1+$AC65/Keys!$C$7^ROUNDUP((Y$60-Keys!$C$6)/Keys!$C$8,0))</f>
        <v>467.92666888552066</v>
      </c>
      <c r="Z65">
        <f>Y65*(1+$AC65/Keys!$C$7^ROUNDUP((Z$60-Keys!$C$6)/Keys!$C$8,0))</f>
        <v>468.09102552156196</v>
      </c>
      <c r="AA65">
        <f>Z65*(1+$AC65/Keys!$C$7^ROUNDUP((AA$60-Keys!$C$6)/Keys!$C$8,0))</f>
        <v>468.2554398869562</v>
      </c>
      <c r="AB65">
        <f>AA65*(1+$AC65/Keys!$C$7^ROUNDUP((AB$60-Keys!$C$6)/Keys!$C$8,0))</f>
        <v>468.41991200198044</v>
      </c>
      <c r="AC65">
        <f>IFERROR((EPRI_PI2026!$I$7/EPRI_PI2026!$F$7)^(1/6)-1,0)</f>
        <v>8.9918574050913636E-2</v>
      </c>
    </row>
    <row r="66" spans="1:29" x14ac:dyDescent="0.45">
      <c r="A66" t="s">
        <v>18</v>
      </c>
      <c r="B66">
        <f>IFERROR(EPRI_PI2026!$F$8,0)</f>
        <v>29</v>
      </c>
      <c r="C66">
        <f t="shared" si="6"/>
        <v>41.330060769824215</v>
      </c>
      <c r="D66">
        <f t="shared" si="6"/>
        <v>58.902549077150439</v>
      </c>
      <c r="E66">
        <f t="shared" si="6"/>
        <v>83.946411477799344</v>
      </c>
      <c r="F66">
        <f t="shared" si="6"/>
        <v>119.63828578572814</v>
      </c>
      <c r="G66">
        <f t="shared" si="6"/>
        <v>170.50543523868072</v>
      </c>
      <c r="H66">
        <f t="shared" si="6"/>
        <v>243.00000000000006</v>
      </c>
      <c r="I66">
        <f>H66*(1+$AC66/Keys!$C$7^ROUNDUP((I$60-Keys!$C$6)/Keys!$C$8,0))</f>
        <v>268.82935144023526</v>
      </c>
      <c r="J66">
        <f>I66*(1+$AC66/Keys!$C$7^ROUNDUP((J$60-Keys!$C$6)/Keys!$C$8,0))</f>
        <v>297.40419833653294</v>
      </c>
      <c r="K66">
        <f>J66*(1+$AC66/Keys!$C$7^ROUNDUP((K$60-Keys!$C$6)/Keys!$C$8,0))</f>
        <v>329.01636935972522</v>
      </c>
      <c r="L66">
        <f>K66*(1+$AC66/Keys!$C$7^ROUNDUP((L$60-Keys!$C$6)/Keys!$C$8,0))</f>
        <v>363.98871270862475</v>
      </c>
      <c r="M66">
        <f>L66*(1+$AC66/Keys!$C$7^ROUNDUP((M$60-Keys!$C$6)/Keys!$C$8,0))</f>
        <v>402.67839328817155</v>
      </c>
      <c r="N66">
        <f>M66*(1+$AC66/Keys!$C$7^ROUNDUP((N$60-Keys!$C$6)/Keys!$C$8,0))</f>
        <v>413.37893005528002</v>
      </c>
      <c r="O66">
        <f>N66*(1+$AC66/Keys!$C$7^ROUNDUP((O$60-Keys!$C$6)/Keys!$C$8,0))</f>
        <v>424.36381653921649</v>
      </c>
      <c r="P66">
        <f>O66*(1+$AC66/Keys!$C$7^ROUNDUP((P$60-Keys!$C$6)/Keys!$C$8,0))</f>
        <v>435.64060888068866</v>
      </c>
      <c r="Q66">
        <f>P66*(1+$AC66/Keys!$C$7^ROUNDUP((Q$60-Keys!$C$6)/Keys!$C$8,0))</f>
        <v>447.21706401280534</v>
      </c>
      <c r="R66">
        <f>Q66*(1+$AC66/Keys!$C$7^ROUNDUP((R$60-Keys!$C$6)/Keys!$C$8,0))</f>
        <v>459.10114499681453</v>
      </c>
      <c r="S66">
        <f>R66*(1+$AC66/Keys!$C$7^ROUNDUP((S$60-Keys!$C$6)/Keys!$C$8,0))</f>
        <v>462.15111537251852</v>
      </c>
      <c r="T66">
        <f>S66*(1+$AC66/Keys!$C$7^ROUNDUP((T$60-Keys!$C$6)/Keys!$C$8,0))</f>
        <v>465.22134777412691</v>
      </c>
      <c r="U66">
        <f>T66*(1+$AC66/Keys!$C$7^ROUNDUP((U$60-Keys!$C$6)/Keys!$C$8,0))</f>
        <v>468.31197680940414</v>
      </c>
      <c r="V66">
        <f>U66*(1+$AC66/Keys!$C$7^ROUNDUP((V$60-Keys!$C$6)/Keys!$C$8,0))</f>
        <v>471.42313798036128</v>
      </c>
      <c r="W66">
        <f>V66*(1+$AC66/Keys!$C$7^ROUNDUP((W$60-Keys!$C$6)/Keys!$C$8,0))</f>
        <v>474.55496768919699</v>
      </c>
      <c r="X66">
        <f>W66*(1+$AC66/Keys!$C$7^ROUNDUP((X$60-Keys!$C$6)/Keys!$C$8,0))</f>
        <v>475.34312657796715</v>
      </c>
      <c r="Y66">
        <f>X66*(1+$AC66/Keys!$C$7^ROUNDUP((Y$60-Keys!$C$6)/Keys!$C$8,0))</f>
        <v>476.13259447091224</v>
      </c>
      <c r="Z66">
        <f>Y66*(1+$AC66/Keys!$C$7^ROUNDUP((Z$60-Keys!$C$6)/Keys!$C$8,0))</f>
        <v>476.92337354207604</v>
      </c>
      <c r="AA66">
        <f>Z66*(1+$AC66/Keys!$C$7^ROUNDUP((AA$60-Keys!$C$6)/Keys!$C$8,0))</f>
        <v>477.7154659691131</v>
      </c>
      <c r="AB66">
        <f>AA66*(1+$AC66/Keys!$C$7^ROUNDUP((AB$60-Keys!$C$6)/Keys!$C$8,0))</f>
        <v>478.50887393329464</v>
      </c>
      <c r="AC66">
        <f>IFERROR((EPRI_PI2026!$I$8/EPRI_PI2026!$F$8)^(1/6)-1,0)</f>
        <v>0.42517450930428335</v>
      </c>
    </row>
    <row r="67" spans="1:29" x14ac:dyDescent="0.45">
      <c r="A67" t="s">
        <v>20</v>
      </c>
      <c r="B67">
        <f>IFERROR(EPRI_PI2026!$F$9,0)</f>
        <v>14</v>
      </c>
      <c r="C67">
        <f t="shared" si="6"/>
        <v>14</v>
      </c>
      <c r="D67">
        <f t="shared" si="6"/>
        <v>14</v>
      </c>
      <c r="E67">
        <f t="shared" si="6"/>
        <v>14</v>
      </c>
      <c r="F67">
        <f t="shared" si="6"/>
        <v>14</v>
      </c>
      <c r="G67">
        <f t="shared" si="6"/>
        <v>14</v>
      </c>
      <c r="H67">
        <f t="shared" si="6"/>
        <v>14</v>
      </c>
      <c r="I67">
        <f>H67*(1+$AC67/Keys!$C$7^ROUNDUP((I$60-Keys!$C$6)/Keys!$C$8,0))</f>
        <v>14</v>
      </c>
      <c r="J67">
        <f>I67*(1+$AC67/Keys!$C$7^ROUNDUP((J$60-Keys!$C$6)/Keys!$C$8,0))</f>
        <v>14</v>
      </c>
      <c r="K67">
        <f>J67*(1+$AC67/Keys!$C$7^ROUNDUP((K$60-Keys!$C$6)/Keys!$C$8,0))</f>
        <v>14</v>
      </c>
      <c r="L67">
        <f>K67*(1+$AC67/Keys!$C$7^ROUNDUP((L$60-Keys!$C$6)/Keys!$C$8,0))</f>
        <v>14</v>
      </c>
      <c r="M67">
        <f>L67*(1+$AC67/Keys!$C$7^ROUNDUP((M$60-Keys!$C$6)/Keys!$C$8,0))</f>
        <v>14</v>
      </c>
      <c r="N67">
        <f>M67*(1+$AC67/Keys!$C$7^ROUNDUP((N$60-Keys!$C$6)/Keys!$C$8,0))</f>
        <v>14</v>
      </c>
      <c r="O67">
        <f>N67*(1+$AC67/Keys!$C$7^ROUNDUP((O$60-Keys!$C$6)/Keys!$C$8,0))</f>
        <v>14</v>
      </c>
      <c r="P67">
        <f>O67*(1+$AC67/Keys!$C$7^ROUNDUP((P$60-Keys!$C$6)/Keys!$C$8,0))</f>
        <v>14</v>
      </c>
      <c r="Q67">
        <f>P67*(1+$AC67/Keys!$C$7^ROUNDUP((Q$60-Keys!$C$6)/Keys!$C$8,0))</f>
        <v>14</v>
      </c>
      <c r="R67">
        <f>Q67*(1+$AC67/Keys!$C$7^ROUNDUP((R$60-Keys!$C$6)/Keys!$C$8,0))</f>
        <v>14</v>
      </c>
      <c r="S67">
        <f>R67*(1+$AC67/Keys!$C$7^ROUNDUP((S$60-Keys!$C$6)/Keys!$C$8,0))</f>
        <v>14</v>
      </c>
      <c r="T67">
        <f>S67*(1+$AC67/Keys!$C$7^ROUNDUP((T$60-Keys!$C$6)/Keys!$C$8,0))</f>
        <v>14</v>
      </c>
      <c r="U67">
        <f>T67*(1+$AC67/Keys!$C$7^ROUNDUP((U$60-Keys!$C$6)/Keys!$C$8,0))</f>
        <v>14</v>
      </c>
      <c r="V67">
        <f>U67*(1+$AC67/Keys!$C$7^ROUNDUP((V$60-Keys!$C$6)/Keys!$C$8,0))</f>
        <v>14</v>
      </c>
      <c r="W67">
        <f>V67*(1+$AC67/Keys!$C$7^ROUNDUP((W$60-Keys!$C$6)/Keys!$C$8,0))</f>
        <v>14</v>
      </c>
      <c r="X67">
        <f>W67*(1+$AC67/Keys!$C$7^ROUNDUP((X$60-Keys!$C$6)/Keys!$C$8,0))</f>
        <v>14</v>
      </c>
      <c r="Y67">
        <f>X67*(1+$AC67/Keys!$C$7^ROUNDUP((Y$60-Keys!$C$6)/Keys!$C$8,0))</f>
        <v>14</v>
      </c>
      <c r="Z67">
        <f>Y67*(1+$AC67/Keys!$C$7^ROUNDUP((Z$60-Keys!$C$6)/Keys!$C$8,0))</f>
        <v>14</v>
      </c>
      <c r="AA67">
        <f>Z67*(1+$AC67/Keys!$C$7^ROUNDUP((AA$60-Keys!$C$6)/Keys!$C$8,0))</f>
        <v>14</v>
      </c>
      <c r="AB67">
        <f>AA67*(1+$AC67/Keys!$C$7^ROUNDUP((AB$60-Keys!$C$6)/Keys!$C$8,0))</f>
        <v>14</v>
      </c>
      <c r="AC67">
        <f>IFERROR((EPRI_PI2026!$I$9/EPRI_PI2026!$F$9)^(1/6)-1,0)</f>
        <v>0</v>
      </c>
    </row>
    <row r="68" spans="1:29" x14ac:dyDescent="0.45">
      <c r="A68" t="s">
        <v>23</v>
      </c>
      <c r="B68">
        <f>IFERROR(EPRI_PI2026!$F$10,0)</f>
        <v>188</v>
      </c>
      <c r="C68">
        <f t="shared" si="6"/>
        <v>223.02493538489801</v>
      </c>
      <c r="D68">
        <f t="shared" si="6"/>
        <v>264.57511597573369</v>
      </c>
      <c r="E68">
        <f t="shared" si="6"/>
        <v>313.86621353691442</v>
      </c>
      <c r="F68">
        <f t="shared" si="6"/>
        <v>372.34038294453694</v>
      </c>
      <c r="G68">
        <f t="shared" si="6"/>
        <v>441.70845663507203</v>
      </c>
      <c r="H68">
        <f t="shared" si="6"/>
        <v>523.99999999999989</v>
      </c>
      <c r="I68">
        <f>H68*(1+$AC68/Keys!$C$7^ROUNDUP((I$60-Keys!$C$6)/Keys!$C$8,0))</f>
        <v>548.4056730607532</v>
      </c>
      <c r="J68">
        <f>I68*(1+$AC68/Keys!$C$7^ROUNDUP((J$60-Keys!$C$6)/Keys!$C$8,0))</f>
        <v>573.94805771988138</v>
      </c>
      <c r="K68">
        <f>J68*(1+$AC68/Keys!$C$7^ROUNDUP((K$60-Keys!$C$6)/Keys!$C$8,0))</f>
        <v>600.68009712935816</v>
      </c>
      <c r="L68">
        <f>K68*(1+$AC68/Keys!$C$7^ROUNDUP((L$60-Keys!$C$6)/Keys!$C$8,0))</f>
        <v>628.65720030615341</v>
      </c>
      <c r="M68">
        <f>L68*(1+$AC68/Keys!$C$7^ROUNDUP((M$60-Keys!$C$6)/Keys!$C$8,0))</f>
        <v>657.93735698165062</v>
      </c>
      <c r="N68">
        <f>M68*(1+$AC68/Keys!$C$7^ROUNDUP((N$60-Keys!$C$6)/Keys!$C$8,0))</f>
        <v>665.59833218630251</v>
      </c>
      <c r="O68">
        <f>N68*(1+$AC68/Keys!$C$7^ROUNDUP((O$60-Keys!$C$6)/Keys!$C$8,0))</f>
        <v>673.34851123454757</v>
      </c>
      <c r="P68">
        <f>O68*(1+$AC68/Keys!$C$7^ROUNDUP((P$60-Keys!$C$6)/Keys!$C$8,0))</f>
        <v>681.1889328095167</v>
      </c>
      <c r="Q68">
        <f>P68*(1+$AC68/Keys!$C$7^ROUNDUP((Q$60-Keys!$C$6)/Keys!$C$8,0))</f>
        <v>689.12064768869254</v>
      </c>
      <c r="R68">
        <f>Q68*(1+$AC68/Keys!$C$7^ROUNDUP((R$60-Keys!$C$6)/Keys!$C$8,0))</f>
        <v>697.14471888473497</v>
      </c>
      <c r="S68">
        <f>R68*(1+$AC68/Keys!$C$7^ROUNDUP((S$60-Keys!$C$6)/Keys!$C$8,0))</f>
        <v>699.17409461053785</v>
      </c>
      <c r="T68">
        <f>S68*(1+$AC68/Keys!$C$7^ROUNDUP((T$60-Keys!$C$6)/Keys!$C$8,0))</f>
        <v>701.20937781254315</v>
      </c>
      <c r="U68">
        <f>T68*(1+$AC68/Keys!$C$7^ROUNDUP((U$60-Keys!$C$6)/Keys!$C$8,0))</f>
        <v>703.25058568730776</v>
      </c>
      <c r="V68">
        <f>U68*(1+$AC68/Keys!$C$7^ROUNDUP((V$60-Keys!$C$6)/Keys!$C$8,0))</f>
        <v>705.29773548144749</v>
      </c>
      <c r="W68">
        <f>V68*(1+$AC68/Keys!$C$7^ROUNDUP((W$60-Keys!$C$6)/Keys!$C$8,0))</f>
        <v>707.3508444917826</v>
      </c>
      <c r="X68">
        <f>W68*(1+$AC68/Keys!$C$7^ROUNDUP((X$60-Keys!$C$6)/Keys!$C$8,0))</f>
        <v>707.86561588520806</v>
      </c>
      <c r="Y68">
        <f>X68*(1+$AC68/Keys!$C$7^ROUNDUP((Y$60-Keys!$C$6)/Keys!$C$8,0))</f>
        <v>708.38076190119818</v>
      </c>
      <c r="Z68">
        <f>Y68*(1+$AC68/Keys!$C$7^ROUNDUP((Z$60-Keys!$C$6)/Keys!$C$8,0))</f>
        <v>708.89628281238288</v>
      </c>
      <c r="AA68">
        <f>Z68*(1+$AC68/Keys!$C$7^ROUNDUP((AA$60-Keys!$C$6)/Keys!$C$8,0))</f>
        <v>709.41217889159043</v>
      </c>
      <c r="AB68">
        <f>AA68*(1+$AC68/Keys!$C$7^ROUNDUP((AB$60-Keys!$C$6)/Keys!$C$8,0))</f>
        <v>709.92845041184773</v>
      </c>
      <c r="AC68">
        <f>IFERROR((EPRI_PI2026!$I$10/EPRI_PI2026!$F$10)^(1/6)-1,0)</f>
        <v>0.18630284779201078</v>
      </c>
    </row>
    <row r="69" spans="1:29" x14ac:dyDescent="0.45">
      <c r="A69" t="s">
        <v>27</v>
      </c>
      <c r="B69">
        <f>IFERROR(EPRI_PI2026!$F$11,0)</f>
        <v>1774</v>
      </c>
      <c r="C69">
        <f t="shared" si="6"/>
        <v>2132.8572905875931</v>
      </c>
      <c r="D69">
        <f t="shared" si="6"/>
        <v>2564.3067767827783</v>
      </c>
      <c r="E69">
        <f t="shared" si="6"/>
        <v>3083.0329223023232</v>
      </c>
      <c r="F69">
        <f t="shared" si="6"/>
        <v>3706.6906682379272</v>
      </c>
      <c r="G69">
        <f t="shared" si="6"/>
        <v>4456.5063222684676</v>
      </c>
      <c r="H69">
        <f t="shared" si="6"/>
        <v>5358.0000000000018</v>
      </c>
      <c r="I69">
        <f>H69*(1+$AC69/Keys!$C$7^ROUNDUP((I$60-Keys!$C$6)/Keys!$C$8,0))</f>
        <v>5628.9635517148172</v>
      </c>
      <c r="J69">
        <f>I69*(1+$AC69/Keys!$C$7^ROUNDUP((J$60-Keys!$C$6)/Keys!$C$8,0))</f>
        <v>5913.6302102526834</v>
      </c>
      <c r="K69">
        <f>J69*(1+$AC69/Keys!$C$7^ROUNDUP((K$60-Keys!$C$6)/Keys!$C$8,0))</f>
        <v>6212.6929660007418</v>
      </c>
      <c r="L69">
        <f>K69*(1+$AC69/Keys!$C$7^ROUNDUP((L$60-Keys!$C$6)/Keys!$C$8,0))</f>
        <v>6526.8798550976453</v>
      </c>
      <c r="M69">
        <f>L69*(1+$AC69/Keys!$C$7^ROUNDUP((M$60-Keys!$C$6)/Keys!$C$8,0))</f>
        <v>6856.955731759298</v>
      </c>
      <c r="N69">
        <f>M69*(1+$AC69/Keys!$C$7^ROUNDUP((N$60-Keys!$C$6)/Keys!$C$8,0))</f>
        <v>6943.6478313780344</v>
      </c>
      <c r="O69">
        <f>N69*(1+$AC69/Keys!$C$7^ROUNDUP((O$60-Keys!$C$6)/Keys!$C$8,0))</f>
        <v>7031.4359742600363</v>
      </c>
      <c r="P69">
        <f>O69*(1+$AC69/Keys!$C$7^ROUNDUP((P$60-Keys!$C$6)/Keys!$C$8,0))</f>
        <v>7120.3340176176707</v>
      </c>
      <c r="Q69">
        <f>P69*(1+$AC69/Keys!$C$7^ROUNDUP((Q$60-Keys!$C$6)/Keys!$C$8,0))</f>
        <v>7210.3559938592489</v>
      </c>
      <c r="R69">
        <f>Q69*(1+$AC69/Keys!$C$7^ROUNDUP((R$60-Keys!$C$6)/Keys!$C$8,0))</f>
        <v>7301.516112804019</v>
      </c>
      <c r="S69">
        <f>R69*(1+$AC69/Keys!$C$7^ROUNDUP((S$60-Keys!$C$6)/Keys!$C$8,0))</f>
        <v>7324.5942755843043</v>
      </c>
      <c r="T69">
        <f>S69*(1+$AC69/Keys!$C$7^ROUNDUP((T$60-Keys!$C$6)/Keys!$C$8,0))</f>
        <v>7347.7453823380174</v>
      </c>
      <c r="U69">
        <f>T69*(1+$AC69/Keys!$C$7^ROUNDUP((U$60-Keys!$C$6)/Keys!$C$8,0))</f>
        <v>7370.9696636217805</v>
      </c>
      <c r="V69">
        <f>U69*(1+$AC69/Keys!$C$7^ROUNDUP((V$60-Keys!$C$6)/Keys!$C$8,0))</f>
        <v>7394.2673507209438</v>
      </c>
      <c r="W69">
        <f>V69*(1+$AC69/Keys!$C$7^ROUNDUP((W$60-Keys!$C$6)/Keys!$C$8,0))</f>
        <v>7417.6386756518914</v>
      </c>
      <c r="X69">
        <f>W69*(1+$AC69/Keys!$C$7^ROUNDUP((X$60-Keys!$C$6)/Keys!$C$8,0))</f>
        <v>7423.4999745300056</v>
      </c>
      <c r="Y69">
        <f>X69*(1+$AC69/Keys!$C$7^ROUNDUP((Y$60-Keys!$C$6)/Keys!$C$8,0))</f>
        <v>7429.3659049123007</v>
      </c>
      <c r="Z69">
        <f>Y69*(1+$AC69/Keys!$C$7^ROUNDUP((Z$60-Keys!$C$6)/Keys!$C$8,0))</f>
        <v>7435.236470458517</v>
      </c>
      <c r="AA69">
        <f>Z69*(1+$AC69/Keys!$C$7^ROUNDUP((AA$60-Keys!$C$6)/Keys!$C$8,0))</f>
        <v>7441.1116748312861</v>
      </c>
      <c r="AB69">
        <f>AA69*(1+$AC69/Keys!$C$7^ROUNDUP((AB$60-Keys!$C$6)/Keys!$C$8,0))</f>
        <v>7446.9915216961344</v>
      </c>
      <c r="AC69">
        <f>IFERROR((EPRI_PI2026!$I$11/EPRI_PI2026!$F$11)^(1/6)-1,0)</f>
        <v>0.20228708601329948</v>
      </c>
    </row>
    <row r="70" spans="1:29" x14ac:dyDescent="0.45">
      <c r="A70" t="s">
        <v>30</v>
      </c>
      <c r="B70">
        <f>IFERROR(EPRI_PI2026!$F$13,0)</f>
        <v>89</v>
      </c>
      <c r="C70">
        <f t="shared" si="6"/>
        <v>120.71001382390652</v>
      </c>
      <c r="D70">
        <f t="shared" si="6"/>
        <v>163.71806109401913</v>
      </c>
      <c r="E70">
        <f t="shared" si="6"/>
        <v>222.04954402114856</v>
      </c>
      <c r="F70">
        <f t="shared" si="6"/>
        <v>301.1640845885953</v>
      </c>
      <c r="G70">
        <f t="shared" si="6"/>
        <v>408.46652599947743</v>
      </c>
      <c r="H70">
        <f t="shared" si="6"/>
        <v>553.99999999999989</v>
      </c>
      <c r="I70">
        <f>H70*(1+$AC70/Keys!$C$7^ROUNDUP((I$60-Keys!$C$6)/Keys!$C$8,0))</f>
        <v>603.34648218664086</v>
      </c>
      <c r="J70">
        <f>I70*(1+$AC70/Keys!$C$7^ROUNDUP((J$60-Keys!$C$6)/Keys!$C$8,0))</f>
        <v>657.08840716064014</v>
      </c>
      <c r="K70">
        <f>J70*(1+$AC70/Keys!$C$7^ROUNDUP((K$60-Keys!$C$6)/Keys!$C$8,0))</f>
        <v>715.61729051623729</v>
      </c>
      <c r="L70">
        <f>K70*(1+$AC70/Keys!$C$7^ROUNDUP((L$60-Keys!$C$6)/Keys!$C$8,0))</f>
        <v>779.35952134459797</v>
      </c>
      <c r="M70">
        <f>L70*(1+$AC70/Keys!$C$7^ROUNDUP((M$60-Keys!$C$6)/Keys!$C$8,0))</f>
        <v>848.77946852333491</v>
      </c>
      <c r="N70">
        <f>M70*(1+$AC70/Keys!$C$7^ROUNDUP((N$60-Keys!$C$6)/Keys!$C$8,0))</f>
        <v>867.68031731569658</v>
      </c>
      <c r="O70">
        <f>N70*(1+$AC70/Keys!$C$7^ROUNDUP((O$60-Keys!$C$6)/Keys!$C$8,0))</f>
        <v>887.00205527694129</v>
      </c>
      <c r="P70">
        <f>O70*(1+$AC70/Keys!$C$7^ROUNDUP((P$60-Keys!$C$6)/Keys!$C$8,0))</f>
        <v>906.75405487993669</v>
      </c>
      <c r="Q70">
        <f>P70*(1+$AC70/Keys!$C$7^ROUNDUP((Q$60-Keys!$C$6)/Keys!$C$8,0))</f>
        <v>926.94589730628934</v>
      </c>
      <c r="R70">
        <f>Q70*(1+$AC70/Keys!$C$7^ROUNDUP((R$60-Keys!$C$6)/Keys!$C$8,0))</f>
        <v>947.58737709392699</v>
      </c>
      <c r="S70">
        <f>R70*(1+$AC70/Keys!$C$7^ROUNDUP((S$60-Keys!$C$6)/Keys!$C$8,0))</f>
        <v>952.8626595424887</v>
      </c>
      <c r="T70">
        <f>S70*(1+$AC70/Keys!$C$7^ROUNDUP((T$60-Keys!$C$6)/Keys!$C$8,0))</f>
        <v>958.16730984206322</v>
      </c>
      <c r="U70">
        <f>T70*(1+$AC70/Keys!$C$7^ROUNDUP((U$60-Keys!$C$6)/Keys!$C$8,0))</f>
        <v>963.50149148544574</v>
      </c>
      <c r="V70">
        <f>U70*(1+$AC70/Keys!$C$7^ROUNDUP((V$60-Keys!$C$6)/Keys!$C$8,0))</f>
        <v>968.8653688756068</v>
      </c>
      <c r="W70">
        <f>V70*(1+$AC70/Keys!$C$7^ROUNDUP((W$60-Keys!$C$6)/Keys!$C$8,0))</f>
        <v>974.25910733075943</v>
      </c>
      <c r="X70">
        <f>W70*(1+$AC70/Keys!$C$7^ROUNDUP((X$60-Keys!$C$6)/Keys!$C$8,0))</f>
        <v>975.61504877043319</v>
      </c>
      <c r="Y70">
        <f>X70*(1+$AC70/Keys!$C$7^ROUNDUP((Y$60-Keys!$C$6)/Keys!$C$8,0))</f>
        <v>976.97287736432907</v>
      </c>
      <c r="Z70">
        <f>Y70*(1+$AC70/Keys!$C$7^ROUNDUP((Z$60-Keys!$C$6)/Keys!$C$8,0))</f>
        <v>978.33259573892553</v>
      </c>
      <c r="AA70">
        <f>Z70*(1+$AC70/Keys!$C$7^ROUNDUP((AA$60-Keys!$C$6)/Keys!$C$8,0))</f>
        <v>979.69420652435656</v>
      </c>
      <c r="AB70">
        <f>AA70*(1+$AC70/Keys!$C$7^ROUNDUP((AB$60-Keys!$C$6)/Keys!$C$8,0))</f>
        <v>981.05771235441671</v>
      </c>
      <c r="AC70">
        <f>IFERROR((EPRI_PI2026!$I$13/EPRI_PI2026!$F$13)^(1/6)-1,0)</f>
        <v>0.35629229015625308</v>
      </c>
    </row>
    <row r="71" spans="1:29" x14ac:dyDescent="0.45">
      <c r="A71" t="s">
        <v>34</v>
      </c>
      <c r="B71">
        <f>IFERROR(EPRI_PI2026!$F$14,0)</f>
        <v>1602</v>
      </c>
      <c r="C71">
        <f t="shared" ref="C71:H80" si="7">B71*(1+$AC71)</f>
        <v>1809.5096073055531</v>
      </c>
      <c r="D71">
        <f t="shared" si="7"/>
        <v>2043.8982640019331</v>
      </c>
      <c r="E71">
        <f t="shared" si="7"/>
        <v>2308.6476560965289</v>
      </c>
      <c r="F71">
        <f t="shared" si="7"/>
        <v>2607.6904579214201</v>
      </c>
      <c r="G71">
        <f t="shared" si="7"/>
        <v>2945.4687493681813</v>
      </c>
      <c r="H71">
        <f t="shared" si="7"/>
        <v>3326.9999999999977</v>
      </c>
      <c r="I71">
        <f>H71*(1+$AC71/Keys!$C$7^ROUNDUP((I$60-Keys!$C$6)/Keys!$C$8,0))</f>
        <v>3434.7379000476844</v>
      </c>
      <c r="J71">
        <f>I71*(1+$AC71/Keys!$C$7^ROUNDUP((J$60-Keys!$C$6)/Keys!$C$8,0))</f>
        <v>3545.9646654715916</v>
      </c>
      <c r="K71">
        <f>J71*(1+$AC71/Keys!$C$7^ROUNDUP((K$60-Keys!$C$6)/Keys!$C$8,0))</f>
        <v>3660.7932758416569</v>
      </c>
      <c r="L71">
        <f>K71*(1+$AC71/Keys!$C$7^ROUNDUP((L$60-Keys!$C$6)/Keys!$C$8,0))</f>
        <v>3779.3403693336531</v>
      </c>
      <c r="M71">
        <f>L71*(1+$AC71/Keys!$C$7^ROUNDUP((M$60-Keys!$C$6)/Keys!$C$8,0))</f>
        <v>3901.7263612054462</v>
      </c>
      <c r="N71">
        <f>M71*(1+$AC71/Keys!$C$7^ROUNDUP((N$60-Keys!$C$6)/Keys!$C$8,0))</f>
        <v>3933.3136624315489</v>
      </c>
      <c r="O71">
        <f>N71*(1+$AC71/Keys!$C$7^ROUNDUP((O$60-Keys!$C$6)/Keys!$C$8,0))</f>
        <v>3965.1566857422827</v>
      </c>
      <c r="P71">
        <f>O71*(1+$AC71/Keys!$C$7^ROUNDUP((P$60-Keys!$C$6)/Keys!$C$8,0))</f>
        <v>3997.2575013931628</v>
      </c>
      <c r="Q71">
        <f>P71*(1+$AC71/Keys!$C$7^ROUNDUP((Q$60-Keys!$C$6)/Keys!$C$8,0))</f>
        <v>4029.6181963999225</v>
      </c>
      <c r="R71">
        <f>Q71*(1+$AC71/Keys!$C$7^ROUNDUP((R$60-Keys!$C$6)/Keys!$C$8,0))</f>
        <v>4062.2408746741989</v>
      </c>
      <c r="S71">
        <f>R71*(1+$AC71/Keys!$C$7^ROUNDUP((S$60-Keys!$C$6)/Keys!$C$8,0))</f>
        <v>4070.4625702957287</v>
      </c>
      <c r="T71">
        <f>S71*(1+$AC71/Keys!$C$7^ROUNDUP((T$60-Keys!$C$6)/Keys!$C$8,0))</f>
        <v>4078.7009060626801</v>
      </c>
      <c r="U71">
        <f>T71*(1+$AC71/Keys!$C$7^ROUNDUP((U$60-Keys!$C$6)/Keys!$C$8,0))</f>
        <v>4086.9559156535615</v>
      </c>
      <c r="V71">
        <f>U71*(1+$AC71/Keys!$C$7^ROUNDUP((V$60-Keys!$C$6)/Keys!$C$8,0))</f>
        <v>4095.2276328150429</v>
      </c>
      <c r="W71">
        <f>V71*(1+$AC71/Keys!$C$7^ROUNDUP((W$60-Keys!$C$6)/Keys!$C$8,0))</f>
        <v>4103.5160913620966</v>
      </c>
      <c r="X71">
        <f>W71*(1+$AC71/Keys!$C$7^ROUNDUP((X$60-Keys!$C$6)/Keys!$C$8,0))</f>
        <v>4105.5923998161061</v>
      </c>
      <c r="Y71">
        <f>X71*(1+$AC71/Keys!$C$7^ROUNDUP((Y$60-Keys!$C$6)/Keys!$C$8,0))</f>
        <v>4107.6697588464258</v>
      </c>
      <c r="Z71">
        <f>Y71*(1+$AC71/Keys!$C$7^ROUNDUP((Z$60-Keys!$C$6)/Keys!$C$8,0))</f>
        <v>4109.74816898463</v>
      </c>
      <c r="AA71">
        <f>Z71*(1+$AC71/Keys!$C$7^ROUNDUP((AA$60-Keys!$C$6)/Keys!$C$8,0))</f>
        <v>4111.8276307625611</v>
      </c>
      <c r="AB71">
        <f>AA71*(1+$AC71/Keys!$C$7^ROUNDUP((AB$60-Keys!$C$6)/Keys!$C$8,0))</f>
        <v>4113.9081447123299</v>
      </c>
      <c r="AC71">
        <f>IFERROR((EPRI_PI2026!$I$14/EPRI_PI2026!$F$14)^(1/6)-1,0)</f>
        <v>0.12953159007837267</v>
      </c>
    </row>
    <row r="72" spans="1:29" x14ac:dyDescent="0.45">
      <c r="A72" t="s">
        <v>38</v>
      </c>
      <c r="B72">
        <f>IFERROR(EPRI_PI2026!$F$15,0)</f>
        <v>292</v>
      </c>
      <c r="C72">
        <f t="shared" si="7"/>
        <v>472.3948531282204</v>
      </c>
      <c r="D72">
        <f t="shared" si="7"/>
        <v>764.23594952751</v>
      </c>
      <c r="E72">
        <f t="shared" si="7"/>
        <v>1236.3737299053223</v>
      </c>
      <c r="F72">
        <f t="shared" si="7"/>
        <v>2000.19378955553</v>
      </c>
      <c r="G72">
        <f t="shared" si="7"/>
        <v>3235.8946967296683</v>
      </c>
      <c r="H72">
        <f t="shared" si="7"/>
        <v>5234.9999999999964</v>
      </c>
      <c r="I72">
        <f>H72*(1+$AC72/Keys!$C$7^ROUNDUP((I$60-Keys!$C$6)/Keys!$C$8,0))</f>
        <v>6043.5334384642365</v>
      </c>
      <c r="J72">
        <f>I72*(1+$AC72/Keys!$C$7^ROUNDUP((J$60-Keys!$C$6)/Keys!$C$8,0))</f>
        <v>6976.9429650115344</v>
      </c>
      <c r="K72">
        <f>J72*(1+$AC72/Keys!$C$7^ROUNDUP((K$60-Keys!$C$6)/Keys!$C$8,0))</f>
        <v>8054.5153977660084</v>
      </c>
      <c r="L72">
        <f>K72*(1+$AC72/Keys!$C$7^ROUNDUP((L$60-Keys!$C$6)/Keys!$C$8,0))</f>
        <v>9298.5163585528135</v>
      </c>
      <c r="M72">
        <f>L72*(1+$AC72/Keys!$C$7^ROUNDUP((M$60-Keys!$C$6)/Keys!$C$8,0))</f>
        <v>10734.650342124294</v>
      </c>
      <c r="N72">
        <f>M72*(1+$AC72/Keys!$C$7^ROUNDUP((N$60-Keys!$C$6)/Keys!$C$8,0))</f>
        <v>11149.135717092255</v>
      </c>
      <c r="O72">
        <f>N72*(1+$AC72/Keys!$C$7^ROUNDUP((O$60-Keys!$C$6)/Keys!$C$8,0))</f>
        <v>11579.625164907206</v>
      </c>
      <c r="P72">
        <f>O72*(1+$AC72/Keys!$C$7^ROUNDUP((P$60-Keys!$C$6)/Keys!$C$8,0))</f>
        <v>12026.736633422463</v>
      </c>
      <c r="Q72">
        <f>P72*(1+$AC72/Keys!$C$7^ROUNDUP((Q$60-Keys!$C$6)/Keys!$C$8,0))</f>
        <v>12491.111930639507</v>
      </c>
      <c r="R72">
        <f>Q72*(1+$AC72/Keys!$C$7^ROUNDUP((R$60-Keys!$C$6)/Keys!$C$8,0))</f>
        <v>12973.417645993932</v>
      </c>
      <c r="S72">
        <f>R72*(1+$AC72/Keys!$C$7^ROUNDUP((S$60-Keys!$C$6)/Keys!$C$8,0))</f>
        <v>13098.649761298948</v>
      </c>
      <c r="T72">
        <f>S72*(1+$AC72/Keys!$C$7^ROUNDUP((T$60-Keys!$C$6)/Keys!$C$8,0))</f>
        <v>13225.090739459667</v>
      </c>
      <c r="U72">
        <f>T72*(1+$AC72/Keys!$C$7^ROUNDUP((U$60-Keys!$C$6)/Keys!$C$8,0))</f>
        <v>13352.75224960266</v>
      </c>
      <c r="V72">
        <f>U72*(1+$AC72/Keys!$C$7^ROUNDUP((V$60-Keys!$C$6)/Keys!$C$8,0))</f>
        <v>13481.646073496313</v>
      </c>
      <c r="W72">
        <f>V72*(1+$AC72/Keys!$C$7^ROUNDUP((W$60-Keys!$C$6)/Keys!$C$8,0))</f>
        <v>13611.78410663817</v>
      </c>
      <c r="X72">
        <f>W72*(1+$AC72/Keys!$C$7^ROUNDUP((X$60-Keys!$C$6)/Keys!$C$8,0))</f>
        <v>13644.632669816812</v>
      </c>
      <c r="Y72">
        <f>X72*(1+$AC72/Keys!$C$7^ROUNDUP((Y$60-Keys!$C$6)/Keys!$C$8,0))</f>
        <v>13677.560504609995</v>
      </c>
      <c r="Z72">
        <f>Y72*(1+$AC72/Keys!$C$7^ROUNDUP((Z$60-Keys!$C$6)/Keys!$C$8,0))</f>
        <v>13710.567802319507</v>
      </c>
      <c r="AA72">
        <f>Z72*(1+$AC72/Keys!$C$7^ROUNDUP((AA$60-Keys!$C$6)/Keys!$C$8,0))</f>
        <v>13743.654754708792</v>
      </c>
      <c r="AB72">
        <f>AA72*(1+$AC72/Keys!$C$7^ROUNDUP((AB$60-Keys!$C$6)/Keys!$C$8,0))</f>
        <v>13776.821554004069</v>
      </c>
      <c r="AC72">
        <f>IFERROR((EPRI_PI2026!$I$15/EPRI_PI2026!$F$15)^(1/6)-1,0)</f>
        <v>0.61779059290486438</v>
      </c>
    </row>
    <row r="73" spans="1:29" x14ac:dyDescent="0.45">
      <c r="A73" t="s">
        <v>41</v>
      </c>
      <c r="B73">
        <f>IFERROR(EPRI_PI2026!$F$16,0)</f>
        <v>1698</v>
      </c>
      <c r="C73">
        <f t="shared" si="7"/>
        <v>1772.6351343125064</v>
      </c>
      <c r="D73">
        <f t="shared" si="7"/>
        <v>1850.5508359240976</v>
      </c>
      <c r="E73">
        <f t="shared" si="7"/>
        <v>1931.891301290008</v>
      </c>
      <c r="F73">
        <f t="shared" si="7"/>
        <v>2016.8070649819647</v>
      </c>
      <c r="G73">
        <f t="shared" si="7"/>
        <v>2105.4552782783962</v>
      </c>
      <c r="H73">
        <f t="shared" si="7"/>
        <v>2198.0000000000005</v>
      </c>
      <c r="I73">
        <f>H73*(1+$AC73/Keys!$C$7^ROUNDUP((I$60-Keys!$C$6)/Keys!$C$8,0))</f>
        <v>2222.1531250322278</v>
      </c>
      <c r="J73">
        <f>I73*(1+$AC73/Keys!$C$7^ROUNDUP((J$60-Keys!$C$6)/Keys!$C$8,0))</f>
        <v>2246.5716610966765</v>
      </c>
      <c r="K73">
        <f>J73*(1+$AC73/Keys!$C$7^ROUNDUP((K$60-Keys!$C$6)/Keys!$C$8,0))</f>
        <v>2271.2585247110201</v>
      </c>
      <c r="L73">
        <f>K73*(1+$AC73/Keys!$C$7^ROUNDUP((L$60-Keys!$C$6)/Keys!$C$8,0))</f>
        <v>2296.2166644416197</v>
      </c>
      <c r="M73">
        <f>L73*(1+$AC73/Keys!$C$7^ROUNDUP((M$60-Keys!$C$6)/Keys!$C$8,0))</f>
        <v>2321.4490612556974</v>
      </c>
      <c r="N73">
        <f>M73*(1+$AC73/Keys!$C$7^ROUNDUP((N$60-Keys!$C$6)/Keys!$C$8,0))</f>
        <v>2327.8264781611178</v>
      </c>
      <c r="O73">
        <f>N73*(1+$AC73/Keys!$C$7^ROUNDUP((O$60-Keys!$C$6)/Keys!$C$8,0))</f>
        <v>2334.2214149195752</v>
      </c>
      <c r="P73">
        <f>O73*(1+$AC73/Keys!$C$7^ROUNDUP((P$60-Keys!$C$6)/Keys!$C$8,0))</f>
        <v>2340.6339196610966</v>
      </c>
      <c r="Q73">
        <f>P73*(1+$AC73/Keys!$C$7^ROUNDUP((Q$60-Keys!$C$6)/Keys!$C$8,0))</f>
        <v>2347.0640406479311</v>
      </c>
      <c r="R73">
        <f>Q73*(1+$AC73/Keys!$C$7^ROUNDUP((R$60-Keys!$C$6)/Keys!$C$8,0))</f>
        <v>2353.511826274912</v>
      </c>
      <c r="S73">
        <f>R73*(1+$AC73/Keys!$C$7^ROUNDUP((S$60-Keys!$C$6)/Keys!$C$8,0))</f>
        <v>2355.1282009736392</v>
      </c>
      <c r="T73">
        <f>S73*(1+$AC73/Keys!$C$7^ROUNDUP((T$60-Keys!$C$6)/Keys!$C$8,0))</f>
        <v>2356.7456857866805</v>
      </c>
      <c r="U73">
        <f>T73*(1+$AC73/Keys!$C$7^ROUNDUP((U$60-Keys!$C$6)/Keys!$C$8,0))</f>
        <v>2358.3642814764544</v>
      </c>
      <c r="V73">
        <f>U73*(1+$AC73/Keys!$C$7^ROUNDUP((V$60-Keys!$C$6)/Keys!$C$8,0))</f>
        <v>2359.9839888059028</v>
      </c>
      <c r="W73">
        <f>V73*(1+$AC73/Keys!$C$7^ROUNDUP((W$60-Keys!$C$6)/Keys!$C$8,0))</f>
        <v>2361.6048085384919</v>
      </c>
      <c r="X73">
        <f>W73*(1+$AC73/Keys!$C$7^ROUNDUP((X$60-Keys!$C$6)/Keys!$C$8,0))</f>
        <v>2362.0102917634217</v>
      </c>
      <c r="Y73">
        <f>X73*(1+$AC73/Keys!$C$7^ROUNDUP((Y$60-Keys!$C$6)/Keys!$C$8,0))</f>
        <v>2362.4158446090796</v>
      </c>
      <c r="Z73">
        <f>Y73*(1+$AC73/Keys!$C$7^ROUNDUP((Z$60-Keys!$C$6)/Keys!$C$8,0))</f>
        <v>2362.821467087419</v>
      </c>
      <c r="AA73">
        <f>Z73*(1+$AC73/Keys!$C$7^ROUNDUP((AA$60-Keys!$C$6)/Keys!$C$8,0))</f>
        <v>2363.2271592103962</v>
      </c>
      <c r="AB73">
        <f>AA73*(1+$AC73/Keys!$C$7^ROUNDUP((AB$60-Keys!$C$6)/Keys!$C$8,0))</f>
        <v>2363.6329209899686</v>
      </c>
      <c r="AC73">
        <f>IFERROR((EPRI_PI2026!$I$16/EPRI_PI2026!$F$16)^(1/6)-1,0)</f>
        <v>4.3954731632807054E-2</v>
      </c>
    </row>
    <row r="74" spans="1:29" x14ac:dyDescent="0.45">
      <c r="A74" t="s">
        <v>43</v>
      </c>
      <c r="B74">
        <f>IFERROR(EPRI_PI2026!$F$17,0)</f>
        <v>44</v>
      </c>
      <c r="C74">
        <f t="shared" si="7"/>
        <v>44.165109957583191</v>
      </c>
      <c r="D74">
        <f t="shared" si="7"/>
        <v>44.330839490123047</v>
      </c>
      <c r="E74">
        <f t="shared" si="7"/>
        <v>44.497190922573992</v>
      </c>
      <c r="F74">
        <f t="shared" si="7"/>
        <v>44.66416658861484</v>
      </c>
      <c r="G74">
        <f t="shared" si="7"/>
        <v>44.83176883068154</v>
      </c>
      <c r="H74">
        <f t="shared" si="7"/>
        <v>45.000000000000021</v>
      </c>
      <c r="I74">
        <f>H74*(1+$AC74/Keys!$C$7^ROUNDUP((I$60-Keys!$C$6)/Keys!$C$8,0))</f>
        <v>45.04221561415482</v>
      </c>
      <c r="J74">
        <f>I74*(1+$AC74/Keys!$C$7^ROUNDUP((J$60-Keys!$C$6)/Keys!$C$8,0))</f>
        <v>45.084470831822472</v>
      </c>
      <c r="K74">
        <f>J74*(1+$AC74/Keys!$C$7^ROUNDUP((K$60-Keys!$C$6)/Keys!$C$8,0))</f>
        <v>45.126765690156013</v>
      </c>
      <c r="L74">
        <f>K74*(1+$AC74/Keys!$C$7^ROUNDUP((L$60-Keys!$C$6)/Keys!$C$8,0))</f>
        <v>45.169100226343332</v>
      </c>
      <c r="M74">
        <f>L74*(1+$AC74/Keys!$C$7^ROUNDUP((M$60-Keys!$C$6)/Keys!$C$8,0))</f>
        <v>45.211474477607211</v>
      </c>
      <c r="N74">
        <f>M74*(1+$AC74/Keys!$C$7^ROUNDUP((N$60-Keys!$C$6)/Keys!$C$8,0))</f>
        <v>45.222077978506746</v>
      </c>
      <c r="O74">
        <f>N74*(1+$AC74/Keys!$C$7^ROUNDUP((O$60-Keys!$C$6)/Keys!$C$8,0))</f>
        <v>45.232683966257966</v>
      </c>
      <c r="P74">
        <f>O74*(1+$AC74/Keys!$C$7^ROUNDUP((P$60-Keys!$C$6)/Keys!$C$8,0))</f>
        <v>45.243292441444112</v>
      </c>
      <c r="Q74">
        <f>P74*(1+$AC74/Keys!$C$7^ROUNDUP((Q$60-Keys!$C$6)/Keys!$C$8,0))</f>
        <v>45.253903404648561</v>
      </c>
      <c r="R74">
        <f>Q74*(1+$AC74/Keys!$C$7^ROUNDUP((R$60-Keys!$C$6)/Keys!$C$8,0))</f>
        <v>45.264516856454833</v>
      </c>
      <c r="S74">
        <f>R74*(1+$AC74/Keys!$C$7^ROUNDUP((S$60-Keys!$C$6)/Keys!$C$8,0))</f>
        <v>45.267170841702772</v>
      </c>
      <c r="T74">
        <f>S74*(1+$AC74/Keys!$C$7^ROUNDUP((T$60-Keys!$C$6)/Keys!$C$8,0))</f>
        <v>45.269824982561289</v>
      </c>
      <c r="U74">
        <f>T74*(1+$AC74/Keys!$C$7^ROUNDUP((U$60-Keys!$C$6)/Keys!$C$8,0))</f>
        <v>45.272479279039509</v>
      </c>
      <c r="V74">
        <f>U74*(1+$AC74/Keys!$C$7^ROUNDUP((V$60-Keys!$C$6)/Keys!$C$8,0))</f>
        <v>45.27513373114656</v>
      </c>
      <c r="W74">
        <f>V74*(1+$AC74/Keys!$C$7^ROUNDUP((W$60-Keys!$C$6)/Keys!$C$8,0))</f>
        <v>45.277788338891561</v>
      </c>
      <c r="X74">
        <f>W74*(1+$AC74/Keys!$C$7^ROUNDUP((X$60-Keys!$C$6)/Keys!$C$8,0))</f>
        <v>45.278452029739576</v>
      </c>
      <c r="Y74">
        <f>X74*(1+$AC74/Keys!$C$7^ROUNDUP((Y$60-Keys!$C$6)/Keys!$C$8,0))</f>
        <v>45.2791157303161</v>
      </c>
      <c r="Z74">
        <f>Y74*(1+$AC74/Keys!$C$7^ROUNDUP((Z$60-Keys!$C$6)/Keys!$C$8,0))</f>
        <v>45.279779440621283</v>
      </c>
      <c r="AA74">
        <f>Z74*(1+$AC74/Keys!$C$7^ROUNDUP((AA$60-Keys!$C$6)/Keys!$C$8,0))</f>
        <v>45.280443160655267</v>
      </c>
      <c r="AB74">
        <f>AA74*(1+$AC74/Keys!$C$7^ROUNDUP((AB$60-Keys!$C$6)/Keys!$C$8,0))</f>
        <v>45.281106890418187</v>
      </c>
      <c r="AC74">
        <f>IFERROR((EPRI_PI2026!$I$17/EPRI_PI2026!$F$17)^(1/6)-1,0)</f>
        <v>3.7524990359816268E-3</v>
      </c>
    </row>
    <row r="75" spans="1:29" x14ac:dyDescent="0.45">
      <c r="A75" t="s">
        <v>46</v>
      </c>
      <c r="B75">
        <f>IFERROR(EPRI_PI2026!$F$18,0)</f>
        <v>375</v>
      </c>
      <c r="C75">
        <f t="shared" si="7"/>
        <v>400.91969774928265</v>
      </c>
      <c r="D75">
        <f t="shared" si="7"/>
        <v>428.63094411566976</v>
      </c>
      <c r="E75">
        <f t="shared" si="7"/>
        <v>458.25756949558394</v>
      </c>
      <c r="F75">
        <f t="shared" si="7"/>
        <v>489.9319633426411</v>
      </c>
      <c r="G75">
        <f t="shared" si="7"/>
        <v>523.79566576278478</v>
      </c>
      <c r="H75">
        <f t="shared" si="7"/>
        <v>559.99999999999989</v>
      </c>
      <c r="I75">
        <f>H75*(1+$AC75/Keys!$C$7^ROUNDUP((I$60-Keys!$C$6)/Keys!$C$8,0))</f>
        <v>569.67668715973218</v>
      </c>
      <c r="J75">
        <f>I75*(1+$AC75/Keys!$C$7^ROUNDUP((J$60-Keys!$C$6)/Keys!$C$8,0))</f>
        <v>579.5205855237275</v>
      </c>
      <c r="K75">
        <f>J75*(1+$AC75/Keys!$C$7^ROUNDUP((K$60-Keys!$C$6)/Keys!$C$8,0))</f>
        <v>589.5345844679025</v>
      </c>
      <c r="L75">
        <f>K75*(1+$AC75/Keys!$C$7^ROUNDUP((L$60-Keys!$C$6)/Keys!$C$8,0))</f>
        <v>599.72162329600724</v>
      </c>
      <c r="M75">
        <f>L75*(1+$AC75/Keys!$C$7^ROUNDUP((M$60-Keys!$C$6)/Keys!$C$8,0))</f>
        <v>610.08469210236842</v>
      </c>
      <c r="N75">
        <f>M75*(1+$AC75/Keys!$C$7^ROUNDUP((N$60-Keys!$C$6)/Keys!$C$8,0))</f>
        <v>612.72022723916132</v>
      </c>
      <c r="O75">
        <f>N75*(1+$AC75/Keys!$C$7^ROUNDUP((O$60-Keys!$C$6)/Keys!$C$8,0))</f>
        <v>615.36714775497978</v>
      </c>
      <c r="P75">
        <f>O75*(1+$AC75/Keys!$C$7^ROUNDUP((P$60-Keys!$C$6)/Keys!$C$8,0))</f>
        <v>618.02550283408766</v>
      </c>
      <c r="Q75">
        <f>P75*(1+$AC75/Keys!$C$7^ROUNDUP((Q$60-Keys!$C$6)/Keys!$C$8,0))</f>
        <v>620.69534187322233</v>
      </c>
      <c r="R75">
        <f>Q75*(1+$AC75/Keys!$C$7^ROUNDUP((R$60-Keys!$C$6)/Keys!$C$8,0))</f>
        <v>623.37671448251263</v>
      </c>
      <c r="S75">
        <f>R75*(1+$AC75/Keys!$C$7^ROUNDUP((S$60-Keys!$C$6)/Keys!$C$8,0))</f>
        <v>624.04995348348461</v>
      </c>
      <c r="T75">
        <f>S75*(1+$AC75/Keys!$C$7^ROUNDUP((T$60-Keys!$C$6)/Keys!$C$8,0))</f>
        <v>624.72391957409911</v>
      </c>
      <c r="U75">
        <f>T75*(1+$AC75/Keys!$C$7^ROUNDUP((U$60-Keys!$C$6)/Keys!$C$8,0))</f>
        <v>625.39861353960362</v>
      </c>
      <c r="V75">
        <f>U75*(1+$AC75/Keys!$C$7^ROUNDUP((V$60-Keys!$C$6)/Keys!$C$8,0))</f>
        <v>626.07403616609395</v>
      </c>
      <c r="W75">
        <f>V75*(1+$AC75/Keys!$C$7^ROUNDUP((W$60-Keys!$C$6)/Keys!$C$8,0))</f>
        <v>626.75018824051472</v>
      </c>
      <c r="X75">
        <f>W75*(1+$AC75/Keys!$C$7^ROUNDUP((X$60-Keys!$C$6)/Keys!$C$8,0))</f>
        <v>626.91940881805112</v>
      </c>
      <c r="Y75">
        <f>X75*(1+$AC75/Keys!$C$7^ROUNDUP((Y$60-Keys!$C$6)/Keys!$C$8,0))</f>
        <v>627.08867508461071</v>
      </c>
      <c r="Z75">
        <f>Y75*(1+$AC75/Keys!$C$7^ROUNDUP((Z$60-Keys!$C$6)/Keys!$C$8,0))</f>
        <v>627.2579870525293</v>
      </c>
      <c r="AA75">
        <f>Z75*(1+$AC75/Keys!$C$7^ROUNDUP((AA$60-Keys!$C$6)/Keys!$C$8,0))</f>
        <v>627.42734473414612</v>
      </c>
      <c r="AB75">
        <f>AA75*(1+$AC75/Keys!$C$7^ROUNDUP((AB$60-Keys!$C$6)/Keys!$C$8,0))</f>
        <v>627.5967481418038</v>
      </c>
      <c r="AC75">
        <f>IFERROR((EPRI_PI2026!$I$18/EPRI_PI2026!$F$18)^(1/6)-1,0)</f>
        <v>6.9119193998087081E-2</v>
      </c>
    </row>
    <row r="76" spans="1:29" x14ac:dyDescent="0.45">
      <c r="A76" t="s">
        <v>50</v>
      </c>
      <c r="B76">
        <f>IFERROR(EPRI_PI2026!$F$19,0)</f>
        <v>9</v>
      </c>
      <c r="C76">
        <f t="shared" si="7"/>
        <v>20.139491386314013</v>
      </c>
      <c r="D76">
        <f t="shared" si="7"/>
        <v>45.066568144379595</v>
      </c>
      <c r="E76">
        <f t="shared" si="7"/>
        <v>100.8464178838296</v>
      </c>
      <c r="F76">
        <f t="shared" si="7"/>
        <v>225.66617381244555</v>
      </c>
      <c r="G76">
        <f t="shared" si="7"/>
        <v>504.97799596424318</v>
      </c>
      <c r="H76">
        <f t="shared" si="7"/>
        <v>1129.9999999999989</v>
      </c>
      <c r="I76">
        <f>H76*(1+$AC76/Keys!$C$7^ROUNDUP((I$60-Keys!$C$6)/Keys!$C$8,0))</f>
        <v>1479.6562574037439</v>
      </c>
      <c r="J76">
        <f>I76*(1+$AC76/Keys!$C$7^ROUNDUP((J$60-Keys!$C$6)/Keys!$C$8,0))</f>
        <v>1937.5067611274837</v>
      </c>
      <c r="K76">
        <f>J76*(1+$AC76/Keys!$C$7^ROUNDUP((K$60-Keys!$C$6)/Keys!$C$8,0))</f>
        <v>2537.030091030394</v>
      </c>
      <c r="L76">
        <f>K76*(1+$AC76/Keys!$C$7^ROUNDUP((L$60-Keys!$C$6)/Keys!$C$8,0))</f>
        <v>3322.064114526298</v>
      </c>
      <c r="M76">
        <f>L76*(1+$AC76/Keys!$C$7^ROUNDUP((M$60-Keys!$C$6)/Keys!$C$8,0))</f>
        <v>4350.0114642082035</v>
      </c>
      <c r="N76">
        <f>M76*(1+$AC76/Keys!$C$7^ROUNDUP((N$60-Keys!$C$6)/Keys!$C$8,0))</f>
        <v>4686.517820013165</v>
      </c>
      <c r="O76">
        <f>N76*(1+$AC76/Keys!$C$7^ROUNDUP((O$60-Keys!$C$6)/Keys!$C$8,0))</f>
        <v>5049.055492845413</v>
      </c>
      <c r="P76">
        <f>O76*(1+$AC76/Keys!$C$7^ROUNDUP((P$60-Keys!$C$6)/Keys!$C$8,0))</f>
        <v>5439.6382023702245</v>
      </c>
      <c r="Q76">
        <f>P76*(1+$AC76/Keys!$C$7^ROUNDUP((Q$60-Keys!$C$6)/Keys!$C$8,0))</f>
        <v>5860.4354447311107</v>
      </c>
      <c r="R76">
        <f>Q76*(1+$AC76/Keys!$C$7^ROUNDUP((R$60-Keys!$C$6)/Keys!$C$8,0))</f>
        <v>6313.7845430410516</v>
      </c>
      <c r="S76">
        <f>R76*(1+$AC76/Keys!$C$7^ROUNDUP((S$60-Keys!$C$6)/Keys!$C$8,0))</f>
        <v>6435.8893147984281</v>
      </c>
      <c r="T76">
        <f>S76*(1+$AC76/Keys!$C$7^ROUNDUP((T$60-Keys!$C$6)/Keys!$C$8,0))</f>
        <v>6560.3555189398649</v>
      </c>
      <c r="U76">
        <f>T76*(1+$AC76/Keys!$C$7^ROUNDUP((U$60-Keys!$C$6)/Keys!$C$8,0))</f>
        <v>6687.2288241384558</v>
      </c>
      <c r="V76">
        <f>U76*(1+$AC76/Keys!$C$7^ROUNDUP((V$60-Keys!$C$6)/Keys!$C$8,0))</f>
        <v>6816.5557822717919</v>
      </c>
      <c r="W76">
        <f>V76*(1+$AC76/Keys!$C$7^ROUNDUP((W$60-Keys!$C$6)/Keys!$C$8,0))</f>
        <v>6948.3838455026007</v>
      </c>
      <c r="X76">
        <f>W76*(1+$AC76/Keys!$C$7^ROUNDUP((X$60-Keys!$C$6)/Keys!$C$8,0))</f>
        <v>6981.9782300493798</v>
      </c>
      <c r="Y76">
        <f>X76*(1+$AC76/Keys!$C$7^ROUNDUP((Y$60-Keys!$C$6)/Keys!$C$8,0))</f>
        <v>7015.7350383623425</v>
      </c>
      <c r="Z76">
        <f>Y76*(1+$AC76/Keys!$C$7^ROUNDUP((Z$60-Keys!$C$6)/Keys!$C$8,0))</f>
        <v>7049.6550557358223</v>
      </c>
      <c r="AA76">
        <f>Z76*(1+$AC76/Keys!$C$7^ROUNDUP((AA$60-Keys!$C$6)/Keys!$C$8,0))</f>
        <v>7083.7390712609322</v>
      </c>
      <c r="AB76">
        <f>AA76*(1+$AC76/Keys!$C$7^ROUNDUP((AB$60-Keys!$C$6)/Keys!$C$8,0))</f>
        <v>7117.9878778439206</v>
      </c>
      <c r="AC76">
        <f>IFERROR((EPRI_PI2026!$I$19/EPRI_PI2026!$F$19)^(1/6)-1,0)</f>
        <v>1.2377212651460017</v>
      </c>
    </row>
    <row r="77" spans="1:29" x14ac:dyDescent="0.45">
      <c r="A77" t="s">
        <v>54</v>
      </c>
      <c r="B77">
        <f>IFERROR(EPRI_PI2026!$F$20,0)</f>
        <v>3</v>
      </c>
      <c r="C77">
        <f t="shared" si="7"/>
        <v>3.6028108655280082</v>
      </c>
      <c r="D77">
        <f t="shared" si="7"/>
        <v>4.3267487109222253</v>
      </c>
      <c r="E77">
        <f t="shared" si="7"/>
        <v>5.196152422706632</v>
      </c>
      <c r="F77">
        <f t="shared" si="7"/>
        <v>6.2402514691557123</v>
      </c>
      <c r="G77">
        <f t="shared" si="7"/>
        <v>7.4941485989004386</v>
      </c>
      <c r="H77">
        <f t="shared" si="7"/>
        <v>9</v>
      </c>
      <c r="I77">
        <f>H77*(1+$AC77/Keys!$C$7^ROUNDUP((I$60-Keys!$C$6)/Keys!$C$8,0))</f>
        <v>9.4521081491460066</v>
      </c>
      <c r="J77">
        <f>I77*(1+$AC77/Keys!$C$7^ROUNDUP((J$60-Keys!$C$6)/Keys!$C$8,0))</f>
        <v>9.9269276070169266</v>
      </c>
      <c r="K77">
        <f>J77*(1+$AC77/Keys!$C$7^ROUNDUP((K$60-Keys!$C$6)/Keys!$C$8,0))</f>
        <v>10.425599258918572</v>
      </c>
      <c r="L77">
        <f>K77*(1+$AC77/Keys!$C$7^ROUNDUP((L$60-Keys!$C$6)/Keys!$C$8,0))</f>
        <v>10.949321301661644</v>
      </c>
      <c r="M77">
        <f>L77*(1+$AC77/Keys!$C$7^ROUNDUP((M$60-Keys!$C$6)/Keys!$C$8,0))</f>
        <v>11.499352122561554</v>
      </c>
      <c r="N77">
        <f>M77*(1+$AC77/Keys!$C$7^ROUNDUP((N$60-Keys!$C$6)/Keys!$C$8,0))</f>
        <v>11.643767422686819</v>
      </c>
      <c r="O77">
        <f>N77*(1+$AC77/Keys!$C$7^ROUNDUP((O$60-Keys!$C$6)/Keys!$C$8,0))</f>
        <v>11.789996370980084</v>
      </c>
      <c r="P77">
        <f>O77*(1+$AC77/Keys!$C$7^ROUNDUP((P$60-Keys!$C$6)/Keys!$C$8,0))</f>
        <v>11.93806174425014</v>
      </c>
      <c r="Q77">
        <f>P77*(1+$AC77/Keys!$C$7^ROUNDUP((Q$60-Keys!$C$6)/Keys!$C$8,0))</f>
        <v>12.087986605349688</v>
      </c>
      <c r="R77">
        <f>Q77*(1+$AC77/Keys!$C$7^ROUNDUP((R$60-Keys!$C$6)/Keys!$C$8,0))</f>
        <v>12.239794306767644</v>
      </c>
      <c r="S77">
        <f>R77*(1+$AC77/Keys!$C$7^ROUNDUP((S$60-Keys!$C$6)/Keys!$C$8,0))</f>
        <v>12.278222853642371</v>
      </c>
      <c r="T77">
        <f>S77*(1+$AC77/Keys!$C$7^ROUNDUP((T$60-Keys!$C$6)/Keys!$C$8,0))</f>
        <v>12.316772052317111</v>
      </c>
      <c r="U77">
        <f>T77*(1+$AC77/Keys!$C$7^ROUNDUP((U$60-Keys!$C$6)/Keys!$C$8,0))</f>
        <v>12.355442281595073</v>
      </c>
      <c r="V77">
        <f>U77*(1+$AC77/Keys!$C$7^ROUNDUP((V$60-Keys!$C$6)/Keys!$C$8,0))</f>
        <v>12.39423392146877</v>
      </c>
      <c r="W77">
        <f>V77*(1+$AC77/Keys!$C$7^ROUNDUP((W$60-Keys!$C$6)/Keys!$C$8,0))</f>
        <v>12.433147353123756</v>
      </c>
      <c r="X77">
        <f>W77*(1+$AC77/Keys!$C$7^ROUNDUP((X$60-Keys!$C$6)/Keys!$C$8,0))</f>
        <v>12.442906254578411</v>
      </c>
      <c r="Y77">
        <f>X77*(1+$AC77/Keys!$C$7^ROUNDUP((Y$60-Keys!$C$6)/Keys!$C$8,0))</f>
        <v>12.452672815892221</v>
      </c>
      <c r="Z77">
        <f>Y77*(1+$AC77/Keys!$C$7^ROUNDUP((Z$60-Keys!$C$6)/Keys!$C$8,0))</f>
        <v>12.462447043077489</v>
      </c>
      <c r="AA77">
        <f>Z77*(1+$AC77/Keys!$C$7^ROUNDUP((AA$60-Keys!$C$6)/Keys!$C$8,0))</f>
        <v>12.472228942151233</v>
      </c>
      <c r="AB77">
        <f>AA77*(1+$AC77/Keys!$C$7^ROUNDUP((AB$60-Keys!$C$6)/Keys!$C$8,0))</f>
        <v>12.482018519135194</v>
      </c>
      <c r="AC77">
        <f>IFERROR((EPRI_PI2026!$I$20/EPRI_PI2026!$F$20)^(1/6)-1,0)</f>
        <v>0.20093695517600274</v>
      </c>
    </row>
    <row r="78" spans="1:29" x14ac:dyDescent="0.45">
      <c r="A78" t="s">
        <v>56</v>
      </c>
      <c r="B78">
        <f>IFERROR(EPRI_PI2026!$F$21,0)</f>
        <v>63</v>
      </c>
      <c r="C78">
        <f t="shared" si="7"/>
        <v>107.73988146561545</v>
      </c>
      <c r="D78">
        <f t="shared" si="7"/>
        <v>184.25209616229949</v>
      </c>
      <c r="E78">
        <f t="shared" si="7"/>
        <v>315.09998413202106</v>
      </c>
      <c r="F78">
        <f t="shared" si="7"/>
        <v>538.87039587621041</v>
      </c>
      <c r="G78">
        <f t="shared" si="7"/>
        <v>921.55289804812992</v>
      </c>
      <c r="H78">
        <f t="shared" si="7"/>
        <v>1575.9999999999986</v>
      </c>
      <c r="I78">
        <f>H78*(1+$AC78/Keys!$C$7^ROUNDUP((I$60-Keys!$C$6)/Keys!$C$8,0))</f>
        <v>1855.80179837226</v>
      </c>
      <c r="J78">
        <f>I78*(1+$AC78/Keys!$C$7^ROUNDUP((J$60-Keys!$C$6)/Keys!$C$8,0))</f>
        <v>2185.2793875899224</v>
      </c>
      <c r="K78">
        <f>J78*(1+$AC78/Keys!$C$7^ROUNDUP((K$60-Keys!$C$6)/Keys!$C$8,0))</f>
        <v>2573.2521684233584</v>
      </c>
      <c r="L78">
        <f>K78*(1+$AC78/Keys!$C$7^ROUNDUP((L$60-Keys!$C$6)/Keys!$C$8,0))</f>
        <v>3030.1053311074816</v>
      </c>
      <c r="M78">
        <f>L78*(1+$AC78/Keys!$C$7^ROUNDUP((M$60-Keys!$C$6)/Keys!$C$8,0))</f>
        <v>3568.0678443696966</v>
      </c>
      <c r="N78">
        <f>M78*(1+$AC78/Keys!$C$7^ROUNDUP((N$60-Keys!$C$6)/Keys!$C$8,0))</f>
        <v>3726.4358328799885</v>
      </c>
      <c r="O78">
        <f>N78*(1+$AC78/Keys!$C$7^ROUNDUP((O$60-Keys!$C$6)/Keys!$C$8,0))</f>
        <v>3891.8329533683545</v>
      </c>
      <c r="P78">
        <f>O78*(1+$AC78/Keys!$C$7^ROUNDUP((P$60-Keys!$C$6)/Keys!$C$8,0))</f>
        <v>4064.5711924731922</v>
      </c>
      <c r="Q78">
        <f>P78*(1+$AC78/Keys!$C$7^ROUNDUP((Q$60-Keys!$C$6)/Keys!$C$8,0))</f>
        <v>4244.9763842983966</v>
      </c>
      <c r="R78">
        <f>Q78*(1+$AC78/Keys!$C$7^ROUNDUP((R$60-Keys!$C$6)/Keys!$C$8,0))</f>
        <v>4433.388825030388</v>
      </c>
      <c r="S78">
        <f>R78*(1+$AC78/Keys!$C$7^ROUNDUP((S$60-Keys!$C$6)/Keys!$C$8,0))</f>
        <v>4482.5825974814898</v>
      </c>
      <c r="T78">
        <f>S78*(1+$AC78/Keys!$C$7^ROUNDUP((T$60-Keys!$C$6)/Keys!$C$8,0))</f>
        <v>4532.3222339078666</v>
      </c>
      <c r="U78">
        <f>T78*(1+$AC78/Keys!$C$7^ROUNDUP((U$60-Keys!$C$6)/Keys!$C$8,0))</f>
        <v>4582.6137913257762</v>
      </c>
      <c r="V78">
        <f>U78*(1+$AC78/Keys!$C$7^ROUNDUP((V$60-Keys!$C$6)/Keys!$C$8,0))</f>
        <v>4633.4633939613441</v>
      </c>
      <c r="W78">
        <f>V78*(1+$AC78/Keys!$C$7^ROUNDUP((W$60-Keys!$C$6)/Keys!$C$8,0))</f>
        <v>4684.8772339963389</v>
      </c>
      <c r="X78">
        <f>W78*(1+$AC78/Keys!$C$7^ROUNDUP((X$60-Keys!$C$6)/Keys!$C$8,0))</f>
        <v>4697.8733185778092</v>
      </c>
      <c r="Y78">
        <f>X78*(1+$AC78/Keys!$C$7^ROUNDUP((Y$60-Keys!$C$6)/Keys!$C$8,0))</f>
        <v>4710.9054549501834</v>
      </c>
      <c r="Z78">
        <f>Y78*(1+$AC78/Keys!$C$7^ROUNDUP((Z$60-Keys!$C$6)/Keys!$C$8,0))</f>
        <v>4723.9737431229387</v>
      </c>
      <c r="AA78">
        <f>Z78*(1+$AC78/Keys!$C$7^ROUNDUP((AA$60-Keys!$C$6)/Keys!$C$8,0))</f>
        <v>4737.0782833829835</v>
      </c>
      <c r="AB78">
        <f>AA78*(1+$AC78/Keys!$C$7^ROUNDUP((AB$60-Keys!$C$6)/Keys!$C$8,0))</f>
        <v>4750.219176295428</v>
      </c>
      <c r="AC78">
        <f>IFERROR((EPRI_PI2026!$I$21/EPRI_PI2026!$F$21)^(1/6)-1,0)</f>
        <v>0.71015684866056272</v>
      </c>
    </row>
    <row r="79" spans="1:29" x14ac:dyDescent="0.45">
      <c r="A79" t="s">
        <v>59</v>
      </c>
      <c r="B79">
        <f>IFERROR(EPRI_PI2026!$F$22,0)</f>
        <v>171</v>
      </c>
      <c r="C79">
        <f t="shared" si="7"/>
        <v>171</v>
      </c>
      <c r="D79">
        <f t="shared" si="7"/>
        <v>171</v>
      </c>
      <c r="E79">
        <f t="shared" si="7"/>
        <v>171</v>
      </c>
      <c r="F79">
        <f t="shared" si="7"/>
        <v>171</v>
      </c>
      <c r="G79">
        <f t="shared" si="7"/>
        <v>171</v>
      </c>
      <c r="H79">
        <f t="shared" si="7"/>
        <v>171</v>
      </c>
      <c r="I79">
        <f>H79*(1+$AC79/Keys!$C$7^ROUNDUP((I$60-Keys!$C$6)/Keys!$C$8,0))</f>
        <v>171</v>
      </c>
      <c r="J79">
        <f>I79*(1+$AC79/Keys!$C$7^ROUNDUP((J$60-Keys!$C$6)/Keys!$C$8,0))</f>
        <v>171</v>
      </c>
      <c r="K79">
        <f>J79*(1+$AC79/Keys!$C$7^ROUNDUP((K$60-Keys!$C$6)/Keys!$C$8,0))</f>
        <v>171</v>
      </c>
      <c r="L79">
        <f>K79*(1+$AC79/Keys!$C$7^ROUNDUP((L$60-Keys!$C$6)/Keys!$C$8,0))</f>
        <v>171</v>
      </c>
      <c r="M79">
        <f>L79*(1+$AC79/Keys!$C$7^ROUNDUP((M$60-Keys!$C$6)/Keys!$C$8,0))</f>
        <v>171</v>
      </c>
      <c r="N79">
        <f>M79*(1+$AC79/Keys!$C$7^ROUNDUP((N$60-Keys!$C$6)/Keys!$C$8,0))</f>
        <v>171</v>
      </c>
      <c r="O79">
        <f>N79*(1+$AC79/Keys!$C$7^ROUNDUP((O$60-Keys!$C$6)/Keys!$C$8,0))</f>
        <v>171</v>
      </c>
      <c r="P79">
        <f>O79*(1+$AC79/Keys!$C$7^ROUNDUP((P$60-Keys!$C$6)/Keys!$C$8,0))</f>
        <v>171</v>
      </c>
      <c r="Q79">
        <f>P79*(1+$AC79/Keys!$C$7^ROUNDUP((Q$60-Keys!$C$6)/Keys!$C$8,0))</f>
        <v>171</v>
      </c>
      <c r="R79">
        <f>Q79*(1+$AC79/Keys!$C$7^ROUNDUP((R$60-Keys!$C$6)/Keys!$C$8,0))</f>
        <v>171</v>
      </c>
      <c r="S79">
        <f>R79*(1+$AC79/Keys!$C$7^ROUNDUP((S$60-Keys!$C$6)/Keys!$C$8,0))</f>
        <v>171</v>
      </c>
      <c r="T79">
        <f>S79*(1+$AC79/Keys!$C$7^ROUNDUP((T$60-Keys!$C$6)/Keys!$C$8,0))</f>
        <v>171</v>
      </c>
      <c r="U79">
        <f>T79*(1+$AC79/Keys!$C$7^ROUNDUP((U$60-Keys!$C$6)/Keys!$C$8,0))</f>
        <v>171</v>
      </c>
      <c r="V79">
        <f>U79*(1+$AC79/Keys!$C$7^ROUNDUP((V$60-Keys!$C$6)/Keys!$C$8,0))</f>
        <v>171</v>
      </c>
      <c r="W79">
        <f>V79*(1+$AC79/Keys!$C$7^ROUNDUP((W$60-Keys!$C$6)/Keys!$C$8,0))</f>
        <v>171</v>
      </c>
      <c r="X79">
        <f>W79*(1+$AC79/Keys!$C$7^ROUNDUP((X$60-Keys!$C$6)/Keys!$C$8,0))</f>
        <v>171</v>
      </c>
      <c r="Y79">
        <f>X79*(1+$AC79/Keys!$C$7^ROUNDUP((Y$60-Keys!$C$6)/Keys!$C$8,0))</f>
        <v>171</v>
      </c>
      <c r="Z79">
        <f>Y79*(1+$AC79/Keys!$C$7^ROUNDUP((Z$60-Keys!$C$6)/Keys!$C$8,0))</f>
        <v>171</v>
      </c>
      <c r="AA79">
        <f>Z79*(1+$AC79/Keys!$C$7^ROUNDUP((AA$60-Keys!$C$6)/Keys!$C$8,0))</f>
        <v>171</v>
      </c>
      <c r="AB79">
        <f>AA79*(1+$AC79/Keys!$C$7^ROUNDUP((AB$60-Keys!$C$6)/Keys!$C$8,0))</f>
        <v>171</v>
      </c>
      <c r="AC79">
        <f>IFERROR((EPRI_PI2026!$I$22/EPRI_PI2026!$F$22)^(1/6)-1,0)</f>
        <v>0</v>
      </c>
    </row>
    <row r="80" spans="1:29" x14ac:dyDescent="0.45">
      <c r="A80" t="s">
        <v>62</v>
      </c>
      <c r="B80">
        <f>IFERROR(EPRI_PI2026!$F$23,0)</f>
        <v>97</v>
      </c>
      <c r="C80">
        <f t="shared" si="7"/>
        <v>107.42827866803852</v>
      </c>
      <c r="D80">
        <f t="shared" si="7"/>
        <v>118.97768100595609</v>
      </c>
      <c r="E80">
        <f t="shared" si="7"/>
        <v>131.76873680809118</v>
      </c>
      <c r="F80">
        <f t="shared" si="7"/>
        <v>145.93493378922724</v>
      </c>
      <c r="G80">
        <f t="shared" si="7"/>
        <v>161.62411066506036</v>
      </c>
      <c r="H80">
        <f t="shared" si="7"/>
        <v>179</v>
      </c>
      <c r="I80">
        <f>H80*(1+$AC80/Keys!$C$7^ROUNDUP((I$60-Keys!$C$6)/Keys!$C$8,0))</f>
        <v>183.81098423087343</v>
      </c>
      <c r="J80">
        <f>I80*(1+$AC80/Keys!$C$7^ROUNDUP((J$60-Keys!$C$6)/Keys!$C$8,0))</f>
        <v>188.75127331800226</v>
      </c>
      <c r="K80">
        <f>J80*(1+$AC80/Keys!$C$7^ROUNDUP((K$60-Keys!$C$6)/Keys!$C$8,0))</f>
        <v>193.8243425888972</v>
      </c>
      <c r="L80">
        <f>K80*(1+$AC80/Keys!$C$7^ROUNDUP((L$60-Keys!$C$6)/Keys!$C$8,0))</f>
        <v>199.03376077747035</v>
      </c>
      <c r="M80">
        <f>L80*(1+$AC80/Keys!$C$7^ROUNDUP((M$60-Keys!$C$6)/Keys!$C$8,0))</f>
        <v>204.38319253451976</v>
      </c>
      <c r="N80">
        <f>M80*(1+$AC80/Keys!$C$7^ROUNDUP((N$60-Keys!$C$6)/Keys!$C$8,0))</f>
        <v>205.75649465231189</v>
      </c>
      <c r="O80">
        <f>N80*(1+$AC80/Keys!$C$7^ROUNDUP((O$60-Keys!$C$6)/Keys!$C$8,0))</f>
        <v>207.13902433271983</v>
      </c>
      <c r="P80">
        <f>O80*(1+$AC80/Keys!$C$7^ROUNDUP((P$60-Keys!$C$6)/Keys!$C$8,0))</f>
        <v>208.53084357805955</v>
      </c>
      <c r="Q80">
        <f>P80*(1+$AC80/Keys!$C$7^ROUNDUP((Q$60-Keys!$C$6)/Keys!$C$8,0))</f>
        <v>209.93201480725617</v>
      </c>
      <c r="R80">
        <f>Q80*(1+$AC80/Keys!$C$7^ROUNDUP((R$60-Keys!$C$6)/Keys!$C$8,0))</f>
        <v>211.34260085864332</v>
      </c>
      <c r="S80">
        <f>R80*(1+$AC80/Keys!$C$7^ROUNDUP((S$60-Keys!$C$6)/Keys!$C$8,0))</f>
        <v>211.69761689217776</v>
      </c>
      <c r="T80">
        <f>S80*(1+$AC80/Keys!$C$7^ROUNDUP((T$60-Keys!$C$6)/Keys!$C$8,0))</f>
        <v>212.05322928623562</v>
      </c>
      <c r="U80">
        <f>T80*(1+$AC80/Keys!$C$7^ROUNDUP((U$60-Keys!$C$6)/Keys!$C$8,0))</f>
        <v>212.409439042591</v>
      </c>
      <c r="V80">
        <f>U80*(1+$AC80/Keys!$C$7^ROUNDUP((V$60-Keys!$C$6)/Keys!$C$8,0))</f>
        <v>212.76624716470081</v>
      </c>
      <c r="W80">
        <f>V80*(1+$AC80/Keys!$C$7^ROUNDUP((W$60-Keys!$C$6)/Keys!$C$8,0))</f>
        <v>213.12365465770759</v>
      </c>
      <c r="X80">
        <f>W80*(1+$AC80/Keys!$C$7^ROUNDUP((X$60-Keys!$C$6)/Keys!$C$8,0))</f>
        <v>213.21315662539129</v>
      </c>
      <c r="Y80">
        <f>X80*(1+$AC80/Keys!$C$7^ROUNDUP((Y$60-Keys!$C$6)/Keys!$C$8,0))</f>
        <v>213.30269617971564</v>
      </c>
      <c r="Z80">
        <f>Y80*(1+$AC80/Keys!$C$7^ROUNDUP((Z$60-Keys!$C$6)/Keys!$C$8,0))</f>
        <v>213.39227333646525</v>
      </c>
      <c r="AA80">
        <f>Z80*(1+$AC80/Keys!$C$7^ROUNDUP((AA$60-Keys!$C$6)/Keys!$C$8,0))</f>
        <v>213.48188811143137</v>
      </c>
      <c r="AB80">
        <f>AA80*(1+$AC80/Keys!$C$7^ROUNDUP((AB$60-Keys!$C$6)/Keys!$C$8,0))</f>
        <v>213.57154052041193</v>
      </c>
      <c r="AC80">
        <f>IFERROR((EPRI_PI2026!$I$23/EPRI_PI2026!$F$23)^(1/6)-1,0)</f>
        <v>0.10750802750555177</v>
      </c>
    </row>
    <row r="81" spans="1:29" x14ac:dyDescent="0.45">
      <c r="A81" t="s">
        <v>65</v>
      </c>
      <c r="B81">
        <f>IFERROR(EPRI_PI2026!$F$24,0)</f>
        <v>106</v>
      </c>
      <c r="C81">
        <f t="shared" ref="C81:H90" si="8">B81*(1+$AC81)</f>
        <v>141.50770779219809</v>
      </c>
      <c r="D81">
        <f t="shared" si="8"/>
        <v>188.90972985473698</v>
      </c>
      <c r="E81">
        <f t="shared" si="8"/>
        <v>252.19040425836982</v>
      </c>
      <c r="F81">
        <f t="shared" si="8"/>
        <v>336.66873616782743</v>
      </c>
      <c r="G81">
        <f t="shared" si="8"/>
        <v>449.44548245665624</v>
      </c>
      <c r="H81">
        <f t="shared" si="8"/>
        <v>600.00000000000011</v>
      </c>
      <c r="I81">
        <f>H81*(1+$AC81/Keys!$C$7^ROUNDUP((I$60-Keys!$C$6)/Keys!$C$8,0))</f>
        <v>650.24675630971444</v>
      </c>
      <c r="J81">
        <f>I81*(1+$AC81/Keys!$C$7^ROUNDUP((J$60-Keys!$C$6)/Keys!$C$8,0))</f>
        <v>704.70140681884175</v>
      </c>
      <c r="K81">
        <f>J81*(1+$AC81/Keys!$C$7^ROUNDUP((K$60-Keys!$C$6)/Keys!$C$8,0))</f>
        <v>763.71633991807369</v>
      </c>
      <c r="L81">
        <f>K81*(1+$AC81/Keys!$C$7^ROUNDUP((L$60-Keys!$C$6)/Keys!$C$8,0))</f>
        <v>827.67345462075764</v>
      </c>
      <c r="M81">
        <f>L81*(1+$AC81/Keys!$C$7^ROUNDUP((M$60-Keys!$C$6)/Keys!$C$8,0))</f>
        <v>896.98663191800529</v>
      </c>
      <c r="N81">
        <f>M81*(1+$AC81/Keys!$C$7^ROUNDUP((N$60-Keys!$C$6)/Keys!$C$8,0))</f>
        <v>915.76607721261166</v>
      </c>
      <c r="O81">
        <f>N81*(1+$AC81/Keys!$C$7^ROUNDUP((O$60-Keys!$C$6)/Keys!$C$8,0))</f>
        <v>934.9386917619471</v>
      </c>
      <c r="P81">
        <f>O81*(1+$AC81/Keys!$C$7^ROUNDUP((P$60-Keys!$C$6)/Keys!$C$8,0))</f>
        <v>954.51270701589942</v>
      </c>
      <c r="Q81">
        <f>P81*(1+$AC81/Keys!$C$7^ROUNDUP((Q$60-Keys!$C$6)/Keys!$C$8,0))</f>
        <v>974.49652675921334</v>
      </c>
      <c r="R81">
        <f>Q81*(1+$AC81/Keys!$C$7^ROUNDUP((R$60-Keys!$C$6)/Keys!$C$8,0))</f>
        <v>994.89873071951877</v>
      </c>
      <c r="S81">
        <f>R81*(1+$AC81/Keys!$C$7^ROUNDUP((S$60-Keys!$C$6)/Keys!$C$8,0))</f>
        <v>1000.1060676023633</v>
      </c>
      <c r="T81">
        <f>S81*(1+$AC81/Keys!$C$7^ROUNDUP((T$60-Keys!$C$6)/Keys!$C$8,0))</f>
        <v>1005.340659879726</v>
      </c>
      <c r="U81">
        <f>T81*(1+$AC81/Keys!$C$7^ROUNDUP((U$60-Keys!$C$6)/Keys!$C$8,0))</f>
        <v>1010.6026502073535</v>
      </c>
      <c r="V81">
        <f>U81*(1+$AC81/Keys!$C$7^ROUNDUP((V$60-Keys!$C$6)/Keys!$C$8,0))</f>
        <v>1015.8921819876576</v>
      </c>
      <c r="W81">
        <f>V81*(1+$AC81/Keys!$C$7^ROUNDUP((W$60-Keys!$C$6)/Keys!$C$8,0))</f>
        <v>1021.209399373624</v>
      </c>
      <c r="X81">
        <f>W81*(1+$AC81/Keys!$C$7^ROUNDUP((X$60-Keys!$C$6)/Keys!$C$8,0))</f>
        <v>1022.5456613484032</v>
      </c>
      <c r="Y81">
        <f>X81*(1+$AC81/Keys!$C$7^ROUNDUP((Y$60-Keys!$C$6)/Keys!$C$8,0))</f>
        <v>1023.8836718343754</v>
      </c>
      <c r="Z81">
        <f>Y81*(1+$AC81/Keys!$C$7^ROUNDUP((Z$60-Keys!$C$6)/Keys!$C$8,0))</f>
        <v>1025.2234331194838</v>
      </c>
      <c r="AA81">
        <f>Z81*(1+$AC81/Keys!$C$7^ROUNDUP((AA$60-Keys!$C$6)/Keys!$C$8,0))</f>
        <v>1026.5649474946654</v>
      </c>
      <c r="AB81">
        <f>AA81*(1+$AC81/Keys!$C$7^ROUNDUP((AB$60-Keys!$C$6)/Keys!$C$8,0))</f>
        <v>1027.9082172538544</v>
      </c>
      <c r="AC81">
        <f>IFERROR((EPRI_PI2026!$I$24/EPRI_PI2026!$F$24)^(1/6)-1,0)</f>
        <v>0.33497837539809527</v>
      </c>
    </row>
    <row r="82" spans="1:29" x14ac:dyDescent="0.45">
      <c r="A82" t="s">
        <v>67</v>
      </c>
      <c r="B82">
        <f>IFERROR(EPRI_PI2026!$F$25,0)</f>
        <v>46</v>
      </c>
      <c r="C82">
        <f t="shared" si="8"/>
        <v>80.4465655783427</v>
      </c>
      <c r="D82">
        <f t="shared" si="8"/>
        <v>140.6880415945781</v>
      </c>
      <c r="E82">
        <f t="shared" si="8"/>
        <v>246.0406470484094</v>
      </c>
      <c r="F82">
        <f t="shared" si="8"/>
        <v>430.28532712429865</v>
      </c>
      <c r="G82">
        <f t="shared" si="8"/>
        <v>752.49949534572897</v>
      </c>
      <c r="H82">
        <f t="shared" si="8"/>
        <v>1315.9999999999993</v>
      </c>
      <c r="I82">
        <f>H82*(1+$AC82/Keys!$C$7^ROUNDUP((I$60-Keys!$C$6)/Keys!$C$8,0))</f>
        <v>1562.3678277233635</v>
      </c>
      <c r="J82">
        <f>I82*(1+$AC82/Keys!$C$7^ROUNDUP((J$60-Keys!$C$6)/Keys!$C$8,0))</f>
        <v>1854.8580768275249</v>
      </c>
      <c r="K82">
        <f>J82*(1+$AC82/Keys!$C$7^ROUNDUP((K$60-Keys!$C$6)/Keys!$C$8,0))</f>
        <v>2202.1053071642532</v>
      </c>
      <c r="L82">
        <f>K82*(1+$AC82/Keys!$C$7^ROUNDUP((L$60-Keys!$C$6)/Keys!$C$8,0))</f>
        <v>2614.3605510427856</v>
      </c>
      <c r="M82">
        <f>L82*(1+$AC82/Keys!$C$7^ROUNDUP((M$60-Keys!$C$6)/Keys!$C$8,0))</f>
        <v>3103.7939323847827</v>
      </c>
      <c r="N82">
        <f>M82*(1+$AC82/Keys!$C$7^ROUNDUP((N$60-Keys!$C$6)/Keys!$C$8,0))</f>
        <v>3249.0589340608076</v>
      </c>
      <c r="O82">
        <f>N82*(1+$AC82/Keys!$C$7^ROUNDUP((O$60-Keys!$C$6)/Keys!$C$8,0))</f>
        <v>3401.1226862891031</v>
      </c>
      <c r="P82">
        <f>O82*(1+$AC82/Keys!$C$7^ROUNDUP((P$60-Keys!$C$6)/Keys!$C$8,0))</f>
        <v>3560.3033869049268</v>
      </c>
      <c r="Q82">
        <f>P82*(1+$AC82/Keys!$C$7^ROUNDUP((Q$60-Keys!$C$6)/Keys!$C$8,0))</f>
        <v>3726.9341261655463</v>
      </c>
      <c r="R82">
        <f>Q82*(1+$AC82/Keys!$C$7^ROUNDUP((R$60-Keys!$C$6)/Keys!$C$8,0))</f>
        <v>3901.3635837513134</v>
      </c>
      <c r="S82">
        <f>R82*(1+$AC82/Keys!$C$7^ROUNDUP((S$60-Keys!$C$6)/Keys!$C$8,0))</f>
        <v>3947.0118774105013</v>
      </c>
      <c r="T82">
        <f>S82*(1+$AC82/Keys!$C$7^ROUNDUP((T$60-Keys!$C$6)/Keys!$C$8,0))</f>
        <v>3993.1942834817373</v>
      </c>
      <c r="U82">
        <f>T82*(1+$AC82/Keys!$C$7^ROUNDUP((U$60-Keys!$C$6)/Keys!$C$8,0))</f>
        <v>4039.9170514005614</v>
      </c>
      <c r="V82">
        <f>U82*(1+$AC82/Keys!$C$7^ROUNDUP((V$60-Keys!$C$6)/Keys!$C$8,0))</f>
        <v>4087.1865037246562</v>
      </c>
      <c r="W82">
        <f>V82*(1+$AC82/Keys!$C$7^ROUNDUP((W$60-Keys!$C$6)/Keys!$C$8,0))</f>
        <v>4135.0090369894215</v>
      </c>
      <c r="X82">
        <f>W82*(1+$AC82/Keys!$C$7^ROUNDUP((X$60-Keys!$C$6)/Keys!$C$8,0))</f>
        <v>4147.1045583854557</v>
      </c>
      <c r="Y82">
        <f>X82*(1+$AC82/Keys!$C$7^ROUNDUP((Y$60-Keys!$C$6)/Keys!$C$8,0))</f>
        <v>4159.2354609950571</v>
      </c>
      <c r="Z82">
        <f>Y82*(1+$AC82/Keys!$C$7^ROUNDUP((Z$60-Keys!$C$6)/Keys!$C$8,0))</f>
        <v>4171.4018483135806</v>
      </c>
      <c r="AA82">
        <f>Z82*(1+$AC82/Keys!$C$7^ROUNDUP((AA$60-Keys!$C$6)/Keys!$C$8,0))</f>
        <v>4183.6038241391198</v>
      </c>
      <c r="AB82">
        <f>AA82*(1+$AC82/Keys!$C$7^ROUNDUP((AB$60-Keys!$C$6)/Keys!$C$8,0))</f>
        <v>4195.8414925733941</v>
      </c>
      <c r="AC82">
        <f>IFERROR((EPRI_PI2026!$I$25/EPRI_PI2026!$F$25)^(1/6)-1,0)</f>
        <v>0.74883838213788478</v>
      </c>
    </row>
    <row r="83" spans="1:29" x14ac:dyDescent="0.45">
      <c r="A83" t="s">
        <v>69</v>
      </c>
      <c r="B83">
        <f>IFERROR(EPRI_PI2026!$F$26,0)</f>
        <v>224</v>
      </c>
      <c r="C83">
        <f t="shared" si="8"/>
        <v>260.64684990049227</v>
      </c>
      <c r="D83">
        <f t="shared" si="8"/>
        <v>303.28919804932923</v>
      </c>
      <c r="E83">
        <f t="shared" si="8"/>
        <v>352.90792000180443</v>
      </c>
      <c r="F83">
        <f t="shared" si="8"/>
        <v>410.64436452413065</v>
      </c>
      <c r="G83">
        <f t="shared" si="8"/>
        <v>477.82660733305414</v>
      </c>
      <c r="H83">
        <f t="shared" si="8"/>
        <v>556.00000000000011</v>
      </c>
      <c r="I83">
        <f>H83*(1+$AC83/Keys!$C$7^ROUNDUP((I$60-Keys!$C$6)/Keys!$C$8,0))</f>
        <v>578.74067917932348</v>
      </c>
      <c r="J83">
        <f>I83*(1+$AC83/Keys!$C$7^ROUNDUP((J$60-Keys!$C$6)/Keys!$C$8,0))</f>
        <v>602.41146355565559</v>
      </c>
      <c r="K83">
        <f>J83*(1+$AC83/Keys!$C$7^ROUNDUP((K$60-Keys!$C$6)/Keys!$C$8,0))</f>
        <v>627.05039489857961</v>
      </c>
      <c r="L83">
        <f>K83*(1+$AC83/Keys!$C$7^ROUNDUP((L$60-Keys!$C$6)/Keys!$C$8,0))</f>
        <v>652.69707090515624</v>
      </c>
      <c r="M83">
        <f>L83*(1+$AC83/Keys!$C$7^ROUNDUP((M$60-Keys!$C$6)/Keys!$C$8,0))</f>
        <v>679.39270883813856</v>
      </c>
      <c r="N83">
        <f>M83*(1+$AC83/Keys!$C$7^ROUNDUP((N$60-Keys!$C$6)/Keys!$C$8,0))</f>
        <v>686.33958457035953</v>
      </c>
      <c r="O83">
        <f>N83*(1+$AC83/Keys!$C$7^ROUNDUP((O$60-Keys!$C$6)/Keys!$C$8,0))</f>
        <v>693.35749297898565</v>
      </c>
      <c r="P83">
        <f>O83*(1+$AC83/Keys!$C$7^ROUNDUP((P$60-Keys!$C$6)/Keys!$C$8,0))</f>
        <v>700.4471603820499</v>
      </c>
      <c r="Q83">
        <f>P83*(1+$AC83/Keys!$C$7^ROUNDUP((Q$60-Keys!$C$6)/Keys!$C$8,0))</f>
        <v>707.60932052427836</v>
      </c>
      <c r="R83">
        <f>Q83*(1+$AC83/Keys!$C$7^ROUNDUP((R$60-Keys!$C$6)/Keys!$C$8,0))</f>
        <v>714.84471465302897</v>
      </c>
      <c r="S83">
        <f>R83*(1+$AC83/Keys!$C$7^ROUNDUP((S$60-Keys!$C$6)/Keys!$C$8,0))</f>
        <v>716.67205888852357</v>
      </c>
      <c r="T83">
        <f>S83*(1+$AC83/Keys!$C$7^ROUNDUP((T$60-Keys!$C$6)/Keys!$C$8,0))</f>
        <v>718.50407433006694</v>
      </c>
      <c r="U83">
        <f>T83*(1+$AC83/Keys!$C$7^ROUNDUP((U$60-Keys!$C$6)/Keys!$C$8,0))</f>
        <v>720.34077291857614</v>
      </c>
      <c r="V83">
        <f>U83*(1+$AC83/Keys!$C$7^ROUNDUP((V$60-Keys!$C$6)/Keys!$C$8,0))</f>
        <v>722.18216662549253</v>
      </c>
      <c r="W83">
        <f>V83*(1+$AC83/Keys!$C$7^ROUNDUP((W$60-Keys!$C$6)/Keys!$C$8,0))</f>
        <v>724.02826745285984</v>
      </c>
      <c r="X83">
        <f>W83*(1+$AC83/Keys!$C$7^ROUNDUP((X$60-Keys!$C$6)/Keys!$C$8,0))</f>
        <v>724.49097244799555</v>
      </c>
      <c r="Y83">
        <f>X83*(1+$AC83/Keys!$C$7^ROUNDUP((Y$60-Keys!$C$6)/Keys!$C$8,0))</f>
        <v>724.95397314417244</v>
      </c>
      <c r="Z83">
        <f>Y83*(1+$AC83/Keys!$C$7^ROUNDUP((Z$60-Keys!$C$6)/Keys!$C$8,0))</f>
        <v>725.4172697303643</v>
      </c>
      <c r="AA83">
        <f>Z83*(1+$AC83/Keys!$C$7^ROUNDUP((AA$60-Keys!$C$6)/Keys!$C$8,0))</f>
        <v>725.88086239566553</v>
      </c>
      <c r="AB83">
        <f>AA83*(1+$AC83/Keys!$C$7^ROUNDUP((AB$60-Keys!$C$6)/Keys!$C$8,0))</f>
        <v>726.34475132929163</v>
      </c>
      <c r="AC83">
        <f>IFERROR((EPRI_PI2026!$I$26/EPRI_PI2026!$F$26)^(1/6)-1,0)</f>
        <v>0.16360200848434059</v>
      </c>
    </row>
    <row r="84" spans="1:29" x14ac:dyDescent="0.45">
      <c r="A84" t="s">
        <v>71</v>
      </c>
      <c r="B84">
        <f>IFERROR(EPRI_PI2026!$F$27,0)</f>
        <v>106</v>
      </c>
      <c r="C84">
        <f t="shared" si="8"/>
        <v>106</v>
      </c>
      <c r="D84">
        <f t="shared" si="8"/>
        <v>106</v>
      </c>
      <c r="E84">
        <f t="shared" si="8"/>
        <v>106</v>
      </c>
      <c r="F84">
        <f t="shared" si="8"/>
        <v>106</v>
      </c>
      <c r="G84">
        <f t="shared" si="8"/>
        <v>106</v>
      </c>
      <c r="H84">
        <f t="shared" si="8"/>
        <v>106</v>
      </c>
      <c r="I84">
        <f>H84*(1+$AC84/Keys!$C$7^ROUNDUP((I$60-Keys!$C$6)/Keys!$C$8,0))</f>
        <v>106</v>
      </c>
      <c r="J84">
        <f>I84*(1+$AC84/Keys!$C$7^ROUNDUP((J$60-Keys!$C$6)/Keys!$C$8,0))</f>
        <v>106</v>
      </c>
      <c r="K84">
        <f>J84*(1+$AC84/Keys!$C$7^ROUNDUP((K$60-Keys!$C$6)/Keys!$C$8,0))</f>
        <v>106</v>
      </c>
      <c r="L84">
        <f>K84*(1+$AC84/Keys!$C$7^ROUNDUP((L$60-Keys!$C$6)/Keys!$C$8,0))</f>
        <v>106</v>
      </c>
      <c r="M84">
        <f>L84*(1+$AC84/Keys!$C$7^ROUNDUP((M$60-Keys!$C$6)/Keys!$C$8,0))</f>
        <v>106</v>
      </c>
      <c r="N84">
        <f>M84*(1+$AC84/Keys!$C$7^ROUNDUP((N$60-Keys!$C$6)/Keys!$C$8,0))</f>
        <v>106</v>
      </c>
      <c r="O84">
        <f>N84*(1+$AC84/Keys!$C$7^ROUNDUP((O$60-Keys!$C$6)/Keys!$C$8,0))</f>
        <v>106</v>
      </c>
      <c r="P84">
        <f>O84*(1+$AC84/Keys!$C$7^ROUNDUP((P$60-Keys!$C$6)/Keys!$C$8,0))</f>
        <v>106</v>
      </c>
      <c r="Q84">
        <f>P84*(1+$AC84/Keys!$C$7^ROUNDUP((Q$60-Keys!$C$6)/Keys!$C$8,0))</f>
        <v>106</v>
      </c>
      <c r="R84">
        <f>Q84*(1+$AC84/Keys!$C$7^ROUNDUP((R$60-Keys!$C$6)/Keys!$C$8,0))</f>
        <v>106</v>
      </c>
      <c r="S84">
        <f>R84*(1+$AC84/Keys!$C$7^ROUNDUP((S$60-Keys!$C$6)/Keys!$C$8,0))</f>
        <v>106</v>
      </c>
      <c r="T84">
        <f>S84*(1+$AC84/Keys!$C$7^ROUNDUP((T$60-Keys!$C$6)/Keys!$C$8,0))</f>
        <v>106</v>
      </c>
      <c r="U84">
        <f>T84*(1+$AC84/Keys!$C$7^ROUNDUP((U$60-Keys!$C$6)/Keys!$C$8,0))</f>
        <v>106</v>
      </c>
      <c r="V84">
        <f>U84*(1+$AC84/Keys!$C$7^ROUNDUP((V$60-Keys!$C$6)/Keys!$C$8,0))</f>
        <v>106</v>
      </c>
      <c r="W84">
        <f>V84*(1+$AC84/Keys!$C$7^ROUNDUP((W$60-Keys!$C$6)/Keys!$C$8,0))</f>
        <v>106</v>
      </c>
      <c r="X84">
        <f>W84*(1+$AC84/Keys!$C$7^ROUNDUP((X$60-Keys!$C$6)/Keys!$C$8,0))</f>
        <v>106</v>
      </c>
      <c r="Y84">
        <f>X84*(1+$AC84/Keys!$C$7^ROUNDUP((Y$60-Keys!$C$6)/Keys!$C$8,0))</f>
        <v>106</v>
      </c>
      <c r="Z84">
        <f>Y84*(1+$AC84/Keys!$C$7^ROUNDUP((Z$60-Keys!$C$6)/Keys!$C$8,0))</f>
        <v>106</v>
      </c>
      <c r="AA84">
        <f>Z84*(1+$AC84/Keys!$C$7^ROUNDUP((AA$60-Keys!$C$6)/Keys!$C$8,0))</f>
        <v>106</v>
      </c>
      <c r="AB84">
        <f>AA84*(1+$AC84/Keys!$C$7^ROUNDUP((AB$60-Keys!$C$6)/Keys!$C$8,0))</f>
        <v>106</v>
      </c>
      <c r="AC84">
        <f>IFERROR((EPRI_PI2026!$I$27/EPRI_PI2026!$F$27)^(1/6)-1,0)</f>
        <v>0</v>
      </c>
    </row>
    <row r="85" spans="1:29" x14ac:dyDescent="0.45">
      <c r="A85" t="s">
        <v>73</v>
      </c>
      <c r="B85">
        <f>IFERROR(EPRI_PI2026!$F$28,0)</f>
        <v>1021</v>
      </c>
      <c r="C85">
        <f t="shared" si="8"/>
        <v>1073.3210693491246</v>
      </c>
      <c r="D85">
        <f t="shared" si="8"/>
        <v>1128.3233280203215</v>
      </c>
      <c r="E85">
        <f t="shared" si="8"/>
        <v>1186.144173361738</v>
      </c>
      <c r="F85">
        <f t="shared" si="8"/>
        <v>1246.9280436384465</v>
      </c>
      <c r="G85">
        <f t="shared" si="8"/>
        <v>1310.8267788437113</v>
      </c>
      <c r="H85">
        <f t="shared" si="8"/>
        <v>1378.0000000000007</v>
      </c>
      <c r="I85">
        <f>H85*(1+$AC85/Keys!$C$7^ROUNDUP((I$60-Keys!$C$6)/Keys!$C$8,0))</f>
        <v>1395.6538769743133</v>
      </c>
      <c r="J85">
        <f>I85*(1+$AC85/Keys!$C$7^ROUNDUP((J$60-Keys!$C$6)/Keys!$C$8,0))</f>
        <v>1413.5339218529978</v>
      </c>
      <c r="K85">
        <f>J85*(1+$AC85/Keys!$C$7^ROUNDUP((K$60-Keys!$C$6)/Keys!$C$8,0))</f>
        <v>1431.6430321254293</v>
      </c>
      <c r="L85">
        <f>K85*(1+$AC85/Keys!$C$7^ROUNDUP((L$60-Keys!$C$6)/Keys!$C$8,0))</f>
        <v>1449.9841424013903</v>
      </c>
      <c r="M85">
        <f>L85*(1+$AC85/Keys!$C$7^ROUNDUP((M$60-Keys!$C$6)/Keys!$C$8,0))</f>
        <v>1468.5602248866287</v>
      </c>
      <c r="N85">
        <f>M85*(1+$AC85/Keys!$C$7^ROUNDUP((N$60-Keys!$C$6)/Keys!$C$8,0))</f>
        <v>1473.2637411310984</v>
      </c>
      <c r="O85">
        <f>N85*(1+$AC85/Keys!$C$7^ROUNDUP((O$60-Keys!$C$6)/Keys!$C$8,0))</f>
        <v>1477.9823218344084</v>
      </c>
      <c r="P85">
        <f>O85*(1+$AC85/Keys!$C$7^ROUNDUP((P$60-Keys!$C$6)/Keys!$C$8,0))</f>
        <v>1482.7160152451256</v>
      </c>
      <c r="Q85">
        <f>P85*(1+$AC85/Keys!$C$7^ROUNDUP((Q$60-Keys!$C$6)/Keys!$C$8,0))</f>
        <v>1487.4648697663486</v>
      </c>
      <c r="R85">
        <f>Q85*(1+$AC85/Keys!$C$7^ROUNDUP((R$60-Keys!$C$6)/Keys!$C$8,0))</f>
        <v>1492.228933956201</v>
      </c>
      <c r="S85">
        <f>R85*(1+$AC85/Keys!$C$7^ROUNDUP((S$60-Keys!$C$6)/Keys!$C$8,0))</f>
        <v>1493.4237645992332</v>
      </c>
      <c r="T85">
        <f>S85*(1+$AC85/Keys!$C$7^ROUNDUP((T$60-Keys!$C$6)/Keys!$C$8,0))</f>
        <v>1494.6195519455118</v>
      </c>
      <c r="U85">
        <f>T85*(1+$AC85/Keys!$C$7^ROUNDUP((U$60-Keys!$C$6)/Keys!$C$8,0))</f>
        <v>1495.8162967610713</v>
      </c>
      <c r="V85">
        <f>U85*(1+$AC85/Keys!$C$7^ROUNDUP((V$60-Keys!$C$6)/Keys!$C$8,0))</f>
        <v>1497.0139998125587</v>
      </c>
      <c r="W85">
        <f>V85*(1+$AC85/Keys!$C$7^ROUNDUP((W$60-Keys!$C$6)/Keys!$C$8,0))</f>
        <v>1498.2126618672357</v>
      </c>
      <c r="X85">
        <f>W85*(1+$AC85/Keys!$C$7^ROUNDUP((X$60-Keys!$C$6)/Keys!$C$8,0))</f>
        <v>1498.5125673236712</v>
      </c>
      <c r="Y85">
        <f>X85*(1+$AC85/Keys!$C$7^ROUNDUP((Y$60-Keys!$C$6)/Keys!$C$8,0))</f>
        <v>1498.812532813829</v>
      </c>
      <c r="Z85">
        <f>Y85*(1+$AC85/Keys!$C$7^ROUNDUP((Z$60-Keys!$C$6)/Keys!$C$8,0))</f>
        <v>1499.1125583497262</v>
      </c>
      <c r="AA85">
        <f>Z85*(1+$AC85/Keys!$C$7^ROUNDUP((AA$60-Keys!$C$6)/Keys!$C$8,0))</f>
        <v>1499.4126439433826</v>
      </c>
      <c r="AB85">
        <f>AA85*(1+$AC85/Keys!$C$7^ROUNDUP((AB$60-Keys!$C$6)/Keys!$C$8,0))</f>
        <v>1499.7127896068203</v>
      </c>
      <c r="AC85">
        <f>IFERROR((EPRI_PI2026!$I$28/EPRI_PI2026!$F$28)^(1/6)-1,0)</f>
        <v>5.1244925905117089E-2</v>
      </c>
    </row>
    <row r="86" spans="1:29" x14ac:dyDescent="0.45">
      <c r="A86" t="s">
        <v>75</v>
      </c>
      <c r="B86">
        <f>IFERROR(EPRI_PI2026!$F$29,0)</f>
        <v>866</v>
      </c>
      <c r="C86">
        <f t="shared" si="8"/>
        <v>1035.3560245062299</v>
      </c>
      <c r="D86">
        <f t="shared" si="8"/>
        <v>1237.8315213410451</v>
      </c>
      <c r="E86">
        <f t="shared" si="8"/>
        <v>1479.9033752242067</v>
      </c>
      <c r="F86">
        <f t="shared" si="8"/>
        <v>1769.3150984128017</v>
      </c>
      <c r="G86">
        <f t="shared" si="8"/>
        <v>2115.3245339394084</v>
      </c>
      <c r="H86">
        <f t="shared" si="8"/>
        <v>2528.9999999999995</v>
      </c>
      <c r="I86">
        <f>H86*(1+$AC86/Keys!$C$7^ROUNDUP((I$60-Keys!$C$6)/Keys!$C$8,0))</f>
        <v>2652.643587175593</v>
      </c>
      <c r="J86">
        <f>I86*(1+$AC86/Keys!$C$7^ROUNDUP((J$60-Keys!$C$6)/Keys!$C$8,0))</f>
        <v>2782.3321473245546</v>
      </c>
      <c r="K86">
        <f>J86*(1+$AC86/Keys!$C$7^ROUNDUP((K$60-Keys!$C$6)/Keys!$C$8,0))</f>
        <v>2918.3612210332058</v>
      </c>
      <c r="L86">
        <f>K86*(1+$AC86/Keys!$C$7^ROUNDUP((L$60-Keys!$C$6)/Keys!$C$8,0))</f>
        <v>3061.0407979579545</v>
      </c>
      <c r="M86">
        <f>L86*(1+$AC86/Keys!$C$7^ROUNDUP((M$60-Keys!$C$6)/Keys!$C$8,0))</f>
        <v>3210.6960232447723</v>
      </c>
      <c r="N86">
        <f>M86*(1+$AC86/Keys!$C$7^ROUNDUP((N$60-Keys!$C$6)/Keys!$C$8,0))</f>
        <v>3249.9390020550136</v>
      </c>
      <c r="O86">
        <f>N86*(1+$AC86/Keys!$C$7^ROUNDUP((O$60-Keys!$C$6)/Keys!$C$8,0))</f>
        <v>3289.6616311886587</v>
      </c>
      <c r="P86">
        <f>O86*(1+$AC86/Keys!$C$7^ROUNDUP((P$60-Keys!$C$6)/Keys!$C$8,0))</f>
        <v>3329.8697732086353</v>
      </c>
      <c r="Q86">
        <f>P86*(1+$AC86/Keys!$C$7^ROUNDUP((Q$60-Keys!$C$6)/Keys!$C$8,0))</f>
        <v>3370.5693623334969</v>
      </c>
      <c r="R86">
        <f>Q86*(1+$AC86/Keys!$C$7^ROUNDUP((R$60-Keys!$C$6)/Keys!$C$8,0))</f>
        <v>3411.7664053132389</v>
      </c>
      <c r="S86">
        <f>R86*(1+$AC86/Keys!$C$7^ROUNDUP((S$60-Keys!$C$6)/Keys!$C$8,0))</f>
        <v>3422.1915495638846</v>
      </c>
      <c r="T86">
        <f>S86*(1+$AC86/Keys!$C$7^ROUNDUP((T$60-Keys!$C$6)/Keys!$C$8,0))</f>
        <v>3432.6485493461623</v>
      </c>
      <c r="U86">
        <f>T86*(1+$AC86/Keys!$C$7^ROUNDUP((U$60-Keys!$C$6)/Keys!$C$8,0))</f>
        <v>3443.1375019992433</v>
      </c>
      <c r="V86">
        <f>U86*(1+$AC86/Keys!$C$7^ROUNDUP((V$60-Keys!$C$6)/Keys!$C$8,0))</f>
        <v>3453.6585051597317</v>
      </c>
      <c r="W86">
        <f>V86*(1+$AC86/Keys!$C$7^ROUNDUP((W$60-Keys!$C$6)/Keys!$C$8,0))</f>
        <v>3464.2116567625753</v>
      </c>
      <c r="X86">
        <f>W86*(1+$AC86/Keys!$C$7^ROUNDUP((X$60-Keys!$C$6)/Keys!$C$8,0))</f>
        <v>3466.8580063324257</v>
      </c>
      <c r="Y86">
        <f>X86*(1+$AC86/Keys!$C$7^ROUNDUP((Y$60-Keys!$C$6)/Keys!$C$8,0))</f>
        <v>3469.5063774779587</v>
      </c>
      <c r="Z86">
        <f>Y86*(1+$AC86/Keys!$C$7^ROUNDUP((Z$60-Keys!$C$6)/Keys!$C$8,0))</f>
        <v>3472.1567717434787</v>
      </c>
      <c r="AA86">
        <f>Z86*(1+$AC86/Keys!$C$7^ROUNDUP((AA$60-Keys!$C$6)/Keys!$C$8,0))</f>
        <v>3474.8091906744694</v>
      </c>
      <c r="AB86">
        <f>AA86*(1+$AC86/Keys!$C$7^ROUNDUP((AB$60-Keys!$C$6)/Keys!$C$8,0))</f>
        <v>3477.4636358175949</v>
      </c>
      <c r="AC86">
        <f>IFERROR((EPRI_PI2026!$I$29/EPRI_PI2026!$F$29)^(1/6)-1,0)</f>
        <v>0.19556122922197461</v>
      </c>
    </row>
    <row r="87" spans="1:29" x14ac:dyDescent="0.45">
      <c r="A87" t="s">
        <v>77</v>
      </c>
      <c r="B87">
        <f>IFERROR(EPRI_PI2026!$F$30,0)</f>
        <v>4</v>
      </c>
      <c r="C87">
        <f t="shared" si="8"/>
        <v>4</v>
      </c>
      <c r="D87">
        <f t="shared" si="8"/>
        <v>4</v>
      </c>
      <c r="E87">
        <f t="shared" si="8"/>
        <v>4</v>
      </c>
      <c r="F87">
        <f t="shared" si="8"/>
        <v>4</v>
      </c>
      <c r="G87">
        <f t="shared" si="8"/>
        <v>4</v>
      </c>
      <c r="H87">
        <f t="shared" si="8"/>
        <v>4</v>
      </c>
      <c r="I87">
        <f>H87*(1+$AC87/Keys!$C$7^ROUNDUP((I$60-Keys!$C$6)/Keys!$C$8,0))</f>
        <v>4</v>
      </c>
      <c r="J87">
        <f>I87*(1+$AC87/Keys!$C$7^ROUNDUP((J$60-Keys!$C$6)/Keys!$C$8,0))</f>
        <v>4</v>
      </c>
      <c r="K87">
        <f>J87*(1+$AC87/Keys!$C$7^ROUNDUP((K$60-Keys!$C$6)/Keys!$C$8,0))</f>
        <v>4</v>
      </c>
      <c r="L87">
        <f>K87*(1+$AC87/Keys!$C$7^ROUNDUP((L$60-Keys!$C$6)/Keys!$C$8,0))</f>
        <v>4</v>
      </c>
      <c r="M87">
        <f>L87*(1+$AC87/Keys!$C$7^ROUNDUP((M$60-Keys!$C$6)/Keys!$C$8,0))</f>
        <v>4</v>
      </c>
      <c r="N87">
        <f>M87*(1+$AC87/Keys!$C$7^ROUNDUP((N$60-Keys!$C$6)/Keys!$C$8,0))</f>
        <v>4</v>
      </c>
      <c r="O87">
        <f>N87*(1+$AC87/Keys!$C$7^ROUNDUP((O$60-Keys!$C$6)/Keys!$C$8,0))</f>
        <v>4</v>
      </c>
      <c r="P87">
        <f>O87*(1+$AC87/Keys!$C$7^ROUNDUP((P$60-Keys!$C$6)/Keys!$C$8,0))</f>
        <v>4</v>
      </c>
      <c r="Q87">
        <f>P87*(1+$AC87/Keys!$C$7^ROUNDUP((Q$60-Keys!$C$6)/Keys!$C$8,0))</f>
        <v>4</v>
      </c>
      <c r="R87">
        <f>Q87*(1+$AC87/Keys!$C$7^ROUNDUP((R$60-Keys!$C$6)/Keys!$C$8,0))</f>
        <v>4</v>
      </c>
      <c r="S87">
        <f>R87*(1+$AC87/Keys!$C$7^ROUNDUP((S$60-Keys!$C$6)/Keys!$C$8,0))</f>
        <v>4</v>
      </c>
      <c r="T87">
        <f>S87*(1+$AC87/Keys!$C$7^ROUNDUP((T$60-Keys!$C$6)/Keys!$C$8,0))</f>
        <v>4</v>
      </c>
      <c r="U87">
        <f>T87*(1+$AC87/Keys!$C$7^ROUNDUP((U$60-Keys!$C$6)/Keys!$C$8,0))</f>
        <v>4</v>
      </c>
      <c r="V87">
        <f>U87*(1+$AC87/Keys!$C$7^ROUNDUP((V$60-Keys!$C$6)/Keys!$C$8,0))</f>
        <v>4</v>
      </c>
      <c r="W87">
        <f>V87*(1+$AC87/Keys!$C$7^ROUNDUP((W$60-Keys!$C$6)/Keys!$C$8,0))</f>
        <v>4</v>
      </c>
      <c r="X87">
        <f>W87*(1+$AC87/Keys!$C$7^ROUNDUP((X$60-Keys!$C$6)/Keys!$C$8,0))</f>
        <v>4</v>
      </c>
      <c r="Y87">
        <f>X87*(1+$AC87/Keys!$C$7^ROUNDUP((Y$60-Keys!$C$6)/Keys!$C$8,0))</f>
        <v>4</v>
      </c>
      <c r="Z87">
        <f>Y87*(1+$AC87/Keys!$C$7^ROUNDUP((Z$60-Keys!$C$6)/Keys!$C$8,0))</f>
        <v>4</v>
      </c>
      <c r="AA87">
        <f>Z87*(1+$AC87/Keys!$C$7^ROUNDUP((AA$60-Keys!$C$6)/Keys!$C$8,0))</f>
        <v>4</v>
      </c>
      <c r="AB87">
        <f>AA87*(1+$AC87/Keys!$C$7^ROUNDUP((AB$60-Keys!$C$6)/Keys!$C$8,0))</f>
        <v>4</v>
      </c>
      <c r="AC87">
        <f>IFERROR((EPRI_PI2026!$I$30/EPRI_PI2026!$F$30)^(1/6)-1,0)</f>
        <v>0</v>
      </c>
    </row>
    <row r="88" spans="1:29" x14ac:dyDescent="0.45">
      <c r="A88" t="s">
        <v>79</v>
      </c>
      <c r="B88">
        <f>IFERROR(EPRI_PI2026!$F$31,0)</f>
        <v>547</v>
      </c>
      <c r="C88">
        <f t="shared" si="8"/>
        <v>600.76041798367226</v>
      </c>
      <c r="D88">
        <f t="shared" si="8"/>
        <v>659.80453348430819</v>
      </c>
      <c r="E88">
        <f t="shared" si="8"/>
        <v>724.65164044525568</v>
      </c>
      <c r="F88">
        <f t="shared" si="8"/>
        <v>795.87207021288032</v>
      </c>
      <c r="G88">
        <f t="shared" si="8"/>
        <v>874.09220760990945</v>
      </c>
      <c r="H88">
        <f t="shared" si="8"/>
        <v>960</v>
      </c>
      <c r="I88">
        <f>H88*(1+$AC88/Keys!$C$7^ROUNDUP((I$60-Keys!$C$6)/Keys!$C$8,0))</f>
        <v>983.58775194896032</v>
      </c>
      <c r="J88">
        <f>I88*(1+$AC88/Keys!$C$7^ROUNDUP((J$60-Keys!$C$6)/Keys!$C$8,0))</f>
        <v>1007.7550685250098</v>
      </c>
      <c r="K88">
        <f>J88*(1+$AC88/Keys!$C$7^ROUNDUP((K$60-Keys!$C$6)/Keys!$C$8,0))</f>
        <v>1032.5161899642551</v>
      </c>
      <c r="L88">
        <f>K88*(1+$AC88/Keys!$C$7^ROUNDUP((L$60-Keys!$C$6)/Keys!$C$8,0))</f>
        <v>1057.8857063935909</v>
      </c>
      <c r="M88">
        <f>L88*(1+$AC88/Keys!$C$7^ROUNDUP((M$60-Keys!$C$6)/Keys!$C$8,0))</f>
        <v>1083.8785664277186</v>
      </c>
      <c r="N88">
        <f>M88*(1+$AC88/Keys!$C$7^ROUNDUP((N$60-Keys!$C$6)/Keys!$C$8,0))</f>
        <v>1090.5364463151384</v>
      </c>
      <c r="O88">
        <f>N88*(1+$AC88/Keys!$C$7^ROUNDUP((O$60-Keys!$C$6)/Keys!$C$8,0))</f>
        <v>1097.2352231867485</v>
      </c>
      <c r="P88">
        <f>O88*(1+$AC88/Keys!$C$7^ROUNDUP((P$60-Keys!$C$6)/Keys!$C$8,0))</f>
        <v>1103.9751482581526</v>
      </c>
      <c r="Q88">
        <f>P88*(1+$AC88/Keys!$C$7^ROUNDUP((Q$60-Keys!$C$6)/Keys!$C$8,0))</f>
        <v>1110.7564742880822</v>
      </c>
      <c r="R88">
        <f>Q88*(1+$AC88/Keys!$C$7^ROUNDUP((R$60-Keys!$C$6)/Keys!$C$8,0))</f>
        <v>1117.5794555878763</v>
      </c>
      <c r="S88">
        <f>R88*(1+$AC88/Keys!$C$7^ROUNDUP((S$60-Keys!$C$6)/Keys!$C$8,0))</f>
        <v>1119.2956786986615</v>
      </c>
      <c r="T88">
        <f>S88*(1+$AC88/Keys!$C$7^ROUNDUP((T$60-Keys!$C$6)/Keys!$C$8,0))</f>
        <v>1121.0145373462321</v>
      </c>
      <c r="U88">
        <f>T88*(1+$AC88/Keys!$C$7^ROUNDUP((U$60-Keys!$C$6)/Keys!$C$8,0))</f>
        <v>1122.7360355778792</v>
      </c>
      <c r="V88">
        <f>U88*(1+$AC88/Keys!$C$7^ROUNDUP((V$60-Keys!$C$6)/Keys!$C$8,0))</f>
        <v>1124.4601774471089</v>
      </c>
      <c r="W88">
        <f>V88*(1+$AC88/Keys!$C$7^ROUNDUP((W$60-Keys!$C$6)/Keys!$C$8,0))</f>
        <v>1126.1869670136521</v>
      </c>
      <c r="X88">
        <f>W88*(1+$AC88/Keys!$C$7^ROUNDUP((X$60-Keys!$C$6)/Keys!$C$8,0))</f>
        <v>1126.6193273461076</v>
      </c>
      <c r="Y88">
        <f>X88*(1+$AC88/Keys!$C$7^ROUNDUP((Y$60-Keys!$C$6)/Keys!$C$8,0))</f>
        <v>1127.0518536682812</v>
      </c>
      <c r="Z88">
        <f>Y88*(1+$AC88/Keys!$C$7^ROUNDUP((Z$60-Keys!$C$6)/Keys!$C$8,0))</f>
        <v>1127.4845460438987</v>
      </c>
      <c r="AA88">
        <f>Z88*(1+$AC88/Keys!$C$7^ROUNDUP((AA$60-Keys!$C$6)/Keys!$C$8,0))</f>
        <v>1127.9174045367108</v>
      </c>
      <c r="AB88">
        <f>AA88*(1+$AC88/Keys!$C$7^ROUNDUP((AB$60-Keys!$C$6)/Keys!$C$8,0))</f>
        <v>1128.3504292104922</v>
      </c>
      <c r="AC88">
        <f>IFERROR((EPRI_PI2026!$I$31/EPRI_PI2026!$F$31)^(1/6)-1,0)</f>
        <v>9.8282299787334937E-2</v>
      </c>
    </row>
    <row r="89" spans="1:29" x14ac:dyDescent="0.45">
      <c r="A89" t="s">
        <v>81</v>
      </c>
      <c r="B89">
        <f>IFERROR(EPRI_PI2026!$F$32,0)</f>
        <v>393</v>
      </c>
      <c r="C89">
        <f t="shared" si="8"/>
        <v>430.18134653000209</v>
      </c>
      <c r="D89">
        <f t="shared" si="8"/>
        <v>470.8803839754853</v>
      </c>
      <c r="E89">
        <f t="shared" si="8"/>
        <v>515.42991764157421</v>
      </c>
      <c r="F89">
        <f t="shared" si="8"/>
        <v>564.19423921857629</v>
      </c>
      <c r="G89">
        <f t="shared" si="8"/>
        <v>617.57210567816094</v>
      </c>
      <c r="H89">
        <f t="shared" si="8"/>
        <v>676</v>
      </c>
      <c r="I89">
        <f>H89*(1+$AC89/Keys!$C$7^ROUNDUP((I$60-Keys!$C$6)/Keys!$C$8,0))</f>
        <v>691.98892509814334</v>
      </c>
      <c r="J89">
        <f>I89*(1+$AC89/Keys!$C$7^ROUNDUP((J$60-Keys!$C$6)/Keys!$C$8,0))</f>
        <v>708.35602434686962</v>
      </c>
      <c r="K89">
        <f>J89*(1+$AC89/Keys!$C$7^ROUNDUP((K$60-Keys!$C$6)/Keys!$C$8,0))</f>
        <v>725.11024241802454</v>
      </c>
      <c r="L89">
        <f>K89*(1+$AC89/Keys!$C$7^ROUNDUP((L$60-Keys!$C$6)/Keys!$C$8,0))</f>
        <v>742.26073554512266</v>
      </c>
      <c r="M89">
        <f>L89*(1+$AC89/Keys!$C$7^ROUNDUP((M$60-Keys!$C$6)/Keys!$C$8,0))</f>
        <v>759.81687652725839</v>
      </c>
      <c r="N89">
        <f>M89*(1+$AC89/Keys!$C$7^ROUNDUP((N$60-Keys!$C$6)/Keys!$C$8,0))</f>
        <v>764.30972235828631</v>
      </c>
      <c r="O89">
        <f>N89*(1+$AC89/Keys!$C$7^ROUNDUP((O$60-Keys!$C$6)/Keys!$C$8,0))</f>
        <v>768.82913467432525</v>
      </c>
      <c r="P89">
        <f>O89*(1+$AC89/Keys!$C$7^ROUNDUP((P$60-Keys!$C$6)/Keys!$C$8,0))</f>
        <v>773.37527056470174</v>
      </c>
      <c r="Q89">
        <f>P89*(1+$AC89/Keys!$C$7^ROUNDUP((Q$60-Keys!$C$6)/Keys!$C$8,0))</f>
        <v>777.94828804762165</v>
      </c>
      <c r="R89">
        <f>Q89*(1+$AC89/Keys!$C$7^ROUNDUP((R$60-Keys!$C$6)/Keys!$C$8,0))</f>
        <v>782.54834607566238</v>
      </c>
      <c r="S89">
        <f>R89*(1+$AC89/Keys!$C$7^ROUNDUP((S$60-Keys!$C$6)/Keys!$C$8,0))</f>
        <v>783.70516069207133</v>
      </c>
      <c r="T89">
        <f>S89*(1+$AC89/Keys!$C$7^ROUNDUP((T$60-Keys!$C$6)/Keys!$C$8,0))</f>
        <v>784.86368538820057</v>
      </c>
      <c r="U89">
        <f>T89*(1+$AC89/Keys!$C$7^ROUNDUP((U$60-Keys!$C$6)/Keys!$C$8,0))</f>
        <v>786.02392269200277</v>
      </c>
      <c r="V89">
        <f>U89*(1+$AC89/Keys!$C$7^ROUNDUP((V$60-Keys!$C$6)/Keys!$C$8,0))</f>
        <v>787.18587513516763</v>
      </c>
      <c r="W89">
        <f>V89*(1+$AC89/Keys!$C$7^ROUNDUP((W$60-Keys!$C$6)/Keys!$C$8,0))</f>
        <v>788.3495452531273</v>
      </c>
      <c r="X89">
        <f>W89*(1+$AC89/Keys!$C$7^ROUNDUP((X$60-Keys!$C$6)/Keys!$C$8,0))</f>
        <v>788.64089283611111</v>
      </c>
      <c r="Y89">
        <f>X89*(1+$AC89/Keys!$C$7^ROUNDUP((Y$60-Keys!$C$6)/Keys!$C$8,0))</f>
        <v>788.93234809140176</v>
      </c>
      <c r="Z89">
        <f>Y89*(1+$AC89/Keys!$C$7^ROUNDUP((Z$60-Keys!$C$6)/Keys!$C$8,0))</f>
        <v>789.22391105879126</v>
      </c>
      <c r="AA89">
        <f>Z89*(1+$AC89/Keys!$C$7^ROUNDUP((AA$60-Keys!$C$6)/Keys!$C$8,0))</f>
        <v>789.51558177808647</v>
      </c>
      <c r="AB89">
        <f>AA89*(1+$AC89/Keys!$C$7^ROUNDUP((AB$60-Keys!$C$6)/Keys!$C$8,0))</f>
        <v>789.80736028910883</v>
      </c>
      <c r="AC89">
        <f>IFERROR((EPRI_PI2026!$I$32/EPRI_PI2026!$F$32)^(1/6)-1,0)</f>
        <v>9.4609024249369122E-2</v>
      </c>
    </row>
    <row r="90" spans="1:29" x14ac:dyDescent="0.45">
      <c r="A90" t="s">
        <v>83</v>
      </c>
      <c r="B90">
        <f>IFERROR(EPRI_PI2026!$F$33,0)</f>
        <v>1085</v>
      </c>
      <c r="C90">
        <f t="shared" si="8"/>
        <v>1143.51871458951</v>
      </c>
      <c r="D90">
        <f t="shared" si="8"/>
        <v>1205.1935950381983</v>
      </c>
      <c r="E90">
        <f t="shared" si="8"/>
        <v>1270.1948669397152</v>
      </c>
      <c r="F90">
        <f t="shared" si="8"/>
        <v>1338.7019368858034</v>
      </c>
      <c r="G90">
        <f t="shared" si="8"/>
        <v>1410.9038876369966</v>
      </c>
      <c r="H90">
        <f t="shared" si="8"/>
        <v>1487.0000000000007</v>
      </c>
      <c r="I90">
        <f>H90*(1+$AC90/Keys!$C$7^ROUNDUP((I$60-Keys!$C$6)/Keys!$C$8,0))</f>
        <v>1507.0500757130424</v>
      </c>
      <c r="J90">
        <f>I90*(1+$AC90/Keys!$C$7^ROUNDUP((J$60-Keys!$C$6)/Keys!$C$8,0))</f>
        <v>1527.3704981215101</v>
      </c>
      <c r="K90">
        <f>J90*(1+$AC90/Keys!$C$7^ROUNDUP((K$60-Keys!$C$6)/Keys!$C$8,0))</f>
        <v>1547.964912465291</v>
      </c>
      <c r="L90">
        <f>K90*(1+$AC90/Keys!$C$7^ROUNDUP((L$60-Keys!$C$6)/Keys!$C$8,0))</f>
        <v>1568.8370131351369</v>
      </c>
      <c r="M90">
        <f>L90*(1+$AC90/Keys!$C$7^ROUNDUP((M$60-Keys!$C$6)/Keys!$C$8,0))</f>
        <v>1589.9905443353935</v>
      </c>
      <c r="N90">
        <f>M90*(1+$AC90/Keys!$C$7^ROUNDUP((N$60-Keys!$C$6)/Keys!$C$8,0))</f>
        <v>1595.3502334404618</v>
      </c>
      <c r="O90">
        <f>N90*(1+$AC90/Keys!$C$7^ROUNDUP((O$60-Keys!$C$6)/Keys!$C$8,0))</f>
        <v>1600.7279894877552</v>
      </c>
      <c r="P90">
        <f>O90*(1+$AC90/Keys!$C$7^ROUNDUP((P$60-Keys!$C$6)/Keys!$C$8,0))</f>
        <v>1606.1238733790153</v>
      </c>
      <c r="Q90">
        <f>P90*(1+$AC90/Keys!$C$7^ROUNDUP((Q$60-Keys!$C$6)/Keys!$C$8,0))</f>
        <v>1611.5379462212773</v>
      </c>
      <c r="R90">
        <f>Q90*(1+$AC90/Keys!$C$7^ROUNDUP((R$60-Keys!$C$6)/Keys!$C$8,0))</f>
        <v>1616.9702693275613</v>
      </c>
      <c r="S90">
        <f>R90*(1+$AC90/Keys!$C$7^ROUNDUP((S$60-Keys!$C$6)/Keys!$C$8,0))</f>
        <v>1618.3329280500629</v>
      </c>
      <c r="T90">
        <f>S90*(1+$AC90/Keys!$C$7^ROUNDUP((T$60-Keys!$C$6)/Keys!$C$8,0))</f>
        <v>1619.6967351169894</v>
      </c>
      <c r="U90">
        <f>T90*(1+$AC90/Keys!$C$7^ROUNDUP((U$60-Keys!$C$6)/Keys!$C$8,0))</f>
        <v>1621.0616914960776</v>
      </c>
      <c r="V90">
        <f>U90*(1+$AC90/Keys!$C$7^ROUNDUP((V$60-Keys!$C$6)/Keys!$C$8,0))</f>
        <v>1622.4277981558796</v>
      </c>
      <c r="W90">
        <f>V90*(1+$AC90/Keys!$C$7^ROUNDUP((W$60-Keys!$C$6)/Keys!$C$8,0))</f>
        <v>1623.7950560657641</v>
      </c>
      <c r="X90">
        <f>W90*(1+$AC90/Keys!$C$7^ROUNDUP((X$60-Keys!$C$6)/Keys!$C$8,0))</f>
        <v>1624.1371585983022</v>
      </c>
      <c r="Y90">
        <f>X90*(1+$AC90/Keys!$C$7^ROUNDUP((Y$60-Keys!$C$6)/Keys!$C$8,0))</f>
        <v>1624.4793332052948</v>
      </c>
      <c r="Z90">
        <f>Y90*(1+$AC90/Keys!$C$7^ROUNDUP((Z$60-Keys!$C$6)/Keys!$C$8,0))</f>
        <v>1624.8215799019265</v>
      </c>
      <c r="AA90">
        <f>Z90*(1+$AC90/Keys!$C$7^ROUNDUP((AA$60-Keys!$C$6)/Keys!$C$8,0))</f>
        <v>1625.1638987033853</v>
      </c>
      <c r="AB90">
        <f>AA90*(1+$AC90/Keys!$C$7^ROUNDUP((AB$60-Keys!$C$6)/Keys!$C$8,0))</f>
        <v>1625.5062896248621</v>
      </c>
      <c r="AC90">
        <f>IFERROR((EPRI_PI2026!$I$33/EPRI_PI2026!$F$33)^(1/6)-1,0)</f>
        <v>5.3934299160838695E-2</v>
      </c>
    </row>
    <row r="91" spans="1:29" x14ac:dyDescent="0.45">
      <c r="A91" t="s">
        <v>85</v>
      </c>
      <c r="B91">
        <f>IFERROR(EPRI_PI2026!$F$34,0)</f>
        <v>746</v>
      </c>
      <c r="C91">
        <f t="shared" ref="C91:H100" si="9">B91*(1+$AC91)</f>
        <v>868.38441038289636</v>
      </c>
      <c r="D91">
        <f t="shared" si="9"/>
        <v>1010.8464935603896</v>
      </c>
      <c r="E91">
        <f t="shared" si="9"/>
        <v>1176.6800754665646</v>
      </c>
      <c r="F91">
        <f t="shared" si="9"/>
        <v>1369.7193479133173</v>
      </c>
      <c r="G91">
        <f t="shared" si="9"/>
        <v>1594.4275178656185</v>
      </c>
      <c r="H91">
        <f t="shared" si="9"/>
        <v>1856.0000000000002</v>
      </c>
      <c r="I91">
        <f>H91*(1+$AC91/Keys!$C$7^ROUNDUP((I$60-Keys!$C$6)/Keys!$C$8,0))</f>
        <v>1932.1211346081288</v>
      </c>
      <c r="J91">
        <f>I91*(1+$AC91/Keys!$C$7^ROUNDUP((J$60-Keys!$C$6)/Keys!$C$8,0))</f>
        <v>2011.3642665945058</v>
      </c>
      <c r="K91">
        <f>J91*(1+$AC91/Keys!$C$7^ROUNDUP((K$60-Keys!$C$6)/Keys!$C$8,0))</f>
        <v>2093.8574401308315</v>
      </c>
      <c r="L91">
        <f>K91*(1+$AC91/Keys!$C$7^ROUNDUP((L$60-Keys!$C$6)/Keys!$C$8,0))</f>
        <v>2179.7339509338653</v>
      </c>
      <c r="M91">
        <f>L91*(1+$AC91/Keys!$C$7^ROUNDUP((M$60-Keys!$C$6)/Keys!$C$8,0))</f>
        <v>2269.1325616498916</v>
      </c>
      <c r="N91">
        <f>M91*(1+$AC91/Keys!$C$7^ROUNDUP((N$60-Keys!$C$6)/Keys!$C$8,0))</f>
        <v>2292.3988527556348</v>
      </c>
      <c r="O91">
        <f>N91*(1+$AC91/Keys!$C$7^ROUNDUP((O$60-Keys!$C$6)/Keys!$C$8,0))</f>
        <v>2315.9037021152967</v>
      </c>
      <c r="P91">
        <f>O91*(1+$AC91/Keys!$C$7^ROUNDUP((P$60-Keys!$C$6)/Keys!$C$8,0))</f>
        <v>2339.64955575864</v>
      </c>
      <c r="Q91">
        <f>P91*(1+$AC91/Keys!$C$7^ROUNDUP((Q$60-Keys!$C$6)/Keys!$C$8,0))</f>
        <v>2363.6388847955136</v>
      </c>
      <c r="R91">
        <f>Q91*(1+$AC91/Keys!$C$7^ROUNDUP((R$60-Keys!$C$6)/Keys!$C$8,0))</f>
        <v>2387.8741856730089</v>
      </c>
      <c r="S91">
        <f>R91*(1+$AC91/Keys!$C$7^ROUNDUP((S$60-Keys!$C$6)/Keys!$C$8,0))</f>
        <v>2393.9951343635698</v>
      </c>
      <c r="T91">
        <f>S91*(1+$AC91/Keys!$C$7^ROUNDUP((T$60-Keys!$C$6)/Keys!$C$8,0))</f>
        <v>2400.1317731659033</v>
      </c>
      <c r="U91">
        <f>T91*(1+$AC91/Keys!$C$7^ROUNDUP((U$60-Keys!$C$6)/Keys!$C$8,0))</f>
        <v>2406.284142299201</v>
      </c>
      <c r="V91">
        <f>U91*(1+$AC91/Keys!$C$7^ROUNDUP((V$60-Keys!$C$6)/Keys!$C$8,0))</f>
        <v>2412.4522820857501</v>
      </c>
      <c r="W91">
        <f>V91*(1+$AC91/Keys!$C$7^ROUNDUP((W$60-Keys!$C$6)/Keys!$C$8,0))</f>
        <v>2418.6362329511981</v>
      </c>
      <c r="X91">
        <f>W91*(1+$AC91/Keys!$C$7^ROUNDUP((X$60-Keys!$C$6)/Keys!$C$8,0))</f>
        <v>2420.1861835696022</v>
      </c>
      <c r="Y91">
        <f>X91*(1+$AC91/Keys!$C$7^ROUNDUP((Y$60-Keys!$C$6)/Keys!$C$8,0))</f>
        <v>2421.7371274530901</v>
      </c>
      <c r="Z91">
        <f>Y91*(1+$AC91/Keys!$C$7^ROUNDUP((Z$60-Keys!$C$6)/Keys!$C$8,0))</f>
        <v>2423.2890652381816</v>
      </c>
      <c r="AA91">
        <f>Z91*(1+$AC91/Keys!$C$7^ROUNDUP((AA$60-Keys!$C$6)/Keys!$C$8,0))</f>
        <v>2424.8419975618058</v>
      </c>
      <c r="AB91">
        <f>AA91*(1+$AC91/Keys!$C$7^ROUNDUP((AB$60-Keys!$C$6)/Keys!$C$8,0))</f>
        <v>2426.3959250612993</v>
      </c>
      <c r="AC91">
        <f>IFERROR((EPRI_PI2026!$I$34/EPRI_PI2026!$F$34)^(1/6)-1,0)</f>
        <v>0.16405416941407025</v>
      </c>
    </row>
    <row r="92" spans="1:29" x14ac:dyDescent="0.45">
      <c r="A92" t="s">
        <v>87</v>
      </c>
      <c r="B92">
        <f>IFERROR(EPRI_PI2026!$F$35,0)</f>
        <v>640</v>
      </c>
      <c r="C92">
        <f t="shared" si="9"/>
        <v>661.45313439870154</v>
      </c>
      <c r="D92">
        <f t="shared" si="9"/>
        <v>683.62538907166675</v>
      </c>
      <c r="E92">
        <f t="shared" si="9"/>
        <v>706.54086930622782</v>
      </c>
      <c r="F92">
        <f t="shared" si="9"/>
        <v>730.22448841154335</v>
      </c>
      <c r="G92">
        <f t="shared" si="9"/>
        <v>754.70199480391193</v>
      </c>
      <c r="H92">
        <f t="shared" si="9"/>
        <v>780.00000000000011</v>
      </c>
      <c r="I92">
        <f>H92*(1+$AC92/Keys!$C$7^ROUNDUP((I$60-Keys!$C$6)/Keys!$C$8,0))</f>
        <v>786.53650188710458</v>
      </c>
      <c r="J92">
        <f>I92*(1+$AC92/Keys!$C$7^ROUNDUP((J$60-Keys!$C$6)/Keys!$C$8,0))</f>
        <v>793.12778051385021</v>
      </c>
      <c r="K92">
        <f>J92*(1+$AC92/Keys!$C$7^ROUNDUP((K$60-Keys!$C$6)/Keys!$C$8,0))</f>
        <v>799.77429491647035</v>
      </c>
      <c r="L92">
        <f>K92*(1+$AC92/Keys!$C$7^ROUNDUP((L$60-Keys!$C$6)/Keys!$C$8,0))</f>
        <v>806.47650797798201</v>
      </c>
      <c r="M92">
        <f>L92*(1+$AC92/Keys!$C$7^ROUNDUP((M$60-Keys!$C$6)/Keys!$C$8,0))</f>
        <v>813.23488646042233</v>
      </c>
      <c r="N92">
        <f>M92*(1+$AC92/Keys!$C$7^ROUNDUP((N$60-Keys!$C$6)/Keys!$C$8,0))</f>
        <v>814.93864010465552</v>
      </c>
      <c r="O92">
        <f>N92*(1+$AC92/Keys!$C$7^ROUNDUP((O$60-Keys!$C$6)/Keys!$C$8,0))</f>
        <v>816.6459631684113</v>
      </c>
      <c r="P92">
        <f>O92*(1+$AC92/Keys!$C$7^ROUNDUP((P$60-Keys!$C$6)/Keys!$C$8,0))</f>
        <v>818.35686312974019</v>
      </c>
      <c r="Q92">
        <f>P92*(1+$AC92/Keys!$C$7^ROUNDUP((Q$60-Keys!$C$6)/Keys!$C$8,0))</f>
        <v>820.07134748235944</v>
      </c>
      <c r="R92">
        <f>Q92*(1+$AC92/Keys!$C$7^ROUNDUP((R$60-Keys!$C$6)/Keys!$C$8,0))</f>
        <v>821.78942373568589</v>
      </c>
      <c r="S92">
        <f>R92*(1+$AC92/Keys!$C$7^ROUNDUP((S$60-Keys!$C$6)/Keys!$C$8,0))</f>
        <v>822.21984265548156</v>
      </c>
      <c r="T92">
        <f>S92*(1+$AC92/Keys!$C$7^ROUNDUP((T$60-Keys!$C$6)/Keys!$C$8,0))</f>
        <v>822.65048701070043</v>
      </c>
      <c r="U92">
        <f>T92*(1+$AC92/Keys!$C$7^ROUNDUP((U$60-Keys!$C$6)/Keys!$C$8,0))</f>
        <v>823.08135691941618</v>
      </c>
      <c r="V92">
        <f>U92*(1+$AC92/Keys!$C$7^ROUNDUP((V$60-Keys!$C$6)/Keys!$C$8,0))</f>
        <v>823.51245249976421</v>
      </c>
      <c r="W92">
        <f>V92*(1+$AC92/Keys!$C$7^ROUNDUP((W$60-Keys!$C$6)/Keys!$C$8,0))</f>
        <v>823.94377386994188</v>
      </c>
      <c r="X92">
        <f>W92*(1+$AC92/Keys!$C$7^ROUNDUP((X$60-Keys!$C$6)/Keys!$C$8,0))</f>
        <v>824.05166068950848</v>
      </c>
      <c r="Y92">
        <f>X92*(1+$AC92/Keys!$C$7^ROUNDUP((Y$60-Keys!$C$6)/Keys!$C$8,0))</f>
        <v>824.15956163572571</v>
      </c>
      <c r="Z92">
        <f>Y92*(1+$AC92/Keys!$C$7^ROUNDUP((Z$60-Keys!$C$6)/Keys!$C$8,0))</f>
        <v>824.26747671044336</v>
      </c>
      <c r="AA92">
        <f>Z92*(1+$AC92/Keys!$C$7^ROUNDUP((AA$60-Keys!$C$6)/Keys!$C$8,0))</f>
        <v>824.37540591551135</v>
      </c>
      <c r="AB92">
        <f>AA92*(1+$AC92/Keys!$C$7^ROUNDUP((AB$60-Keys!$C$6)/Keys!$C$8,0))</f>
        <v>824.48334925277993</v>
      </c>
      <c r="AC92">
        <f>IFERROR((EPRI_PI2026!$I$35/EPRI_PI2026!$F$35)^(1/6)-1,0)</f>
        <v>3.3520522497971106E-2</v>
      </c>
    </row>
    <row r="93" spans="1:29" x14ac:dyDescent="0.45">
      <c r="A93" t="s">
        <v>89</v>
      </c>
      <c r="B93">
        <f>IFERROR(EPRI_PI2026!$F$36,0)</f>
        <v>2104</v>
      </c>
      <c r="C93">
        <f t="shared" si="9"/>
        <v>2437.5212050742302</v>
      </c>
      <c r="D93">
        <f t="shared" si="9"/>
        <v>2823.9114188148897</v>
      </c>
      <c r="E93">
        <f t="shared" si="9"/>
        <v>3271.5513139793484</v>
      </c>
      <c r="F93">
        <f t="shared" si="9"/>
        <v>3790.150048152625</v>
      </c>
      <c r="G93">
        <f t="shared" si="9"/>
        <v>4390.9558520841911</v>
      </c>
      <c r="H93">
        <f t="shared" si="9"/>
        <v>5087</v>
      </c>
      <c r="I93">
        <f>H93*(1+$AC93/Keys!$C$7^ROUNDUP((I$60-Keys!$C$6)/Keys!$C$8,0))</f>
        <v>5288.5948633807757</v>
      </c>
      <c r="J93">
        <f>I93*(1+$AC93/Keys!$C$7^ROUNDUP((J$60-Keys!$C$6)/Keys!$C$8,0))</f>
        <v>5498.1788144245184</v>
      </c>
      <c r="K93">
        <f>J93*(1+$AC93/Keys!$C$7^ROUNDUP((K$60-Keys!$C$6)/Keys!$C$8,0))</f>
        <v>5716.068456047673</v>
      </c>
      <c r="L93">
        <f>K93*(1+$AC93/Keys!$C$7^ROUNDUP((L$60-Keys!$C$6)/Keys!$C$8,0))</f>
        <v>5942.5929379568715</v>
      </c>
      <c r="M93">
        <f>L93*(1+$AC93/Keys!$C$7^ROUNDUP((M$60-Keys!$C$6)/Keys!$C$8,0))</f>
        <v>6178.0944538709618</v>
      </c>
      <c r="N93">
        <f>M93*(1+$AC93/Keys!$C$7^ROUNDUP((N$60-Keys!$C$6)/Keys!$C$8,0))</f>
        <v>6239.3030300151358</v>
      </c>
      <c r="O93">
        <f>N93*(1+$AC93/Keys!$C$7^ROUNDUP((O$60-Keys!$C$6)/Keys!$C$8,0))</f>
        <v>6301.1180212637682</v>
      </c>
      <c r="P93">
        <f>O93*(1+$AC93/Keys!$C$7^ROUNDUP((P$60-Keys!$C$6)/Keys!$C$8,0))</f>
        <v>6363.5454355866905</v>
      </c>
      <c r="Q93">
        <f>P93*(1+$AC93/Keys!$C$7^ROUNDUP((Q$60-Keys!$C$6)/Keys!$C$8,0))</f>
        <v>6426.5913404768253</v>
      </c>
      <c r="R93">
        <f>Q93*(1+$AC93/Keys!$C$7^ROUNDUP((R$60-Keys!$C$6)/Keys!$C$8,0))</f>
        <v>6490.2618635399031</v>
      </c>
      <c r="S93">
        <f>R93*(1+$AC93/Keys!$C$7^ROUNDUP((S$60-Keys!$C$6)/Keys!$C$8,0))</f>
        <v>6506.3371959274318</v>
      </c>
      <c r="T93">
        <f>S93*(1+$AC93/Keys!$C$7^ROUNDUP((T$60-Keys!$C$6)/Keys!$C$8,0))</f>
        <v>6522.4523443218959</v>
      </c>
      <c r="U93">
        <f>T93*(1+$AC93/Keys!$C$7^ROUNDUP((U$60-Keys!$C$6)/Keys!$C$8,0))</f>
        <v>6538.6074073411255</v>
      </c>
      <c r="V93">
        <f>U93*(1+$AC93/Keys!$C$7^ROUNDUP((V$60-Keys!$C$6)/Keys!$C$8,0))</f>
        <v>6554.802483847212</v>
      </c>
      <c r="W93">
        <f>V93*(1+$AC93/Keys!$C$7^ROUNDUP((W$60-Keys!$C$6)/Keys!$C$8,0))</f>
        <v>6571.0376729471127</v>
      </c>
      <c r="X93">
        <f>W93*(1+$AC93/Keys!$C$7^ROUNDUP((X$60-Keys!$C$6)/Keys!$C$8,0))</f>
        <v>6575.1065232086485</v>
      </c>
      <c r="Y93">
        <f>X93*(1+$AC93/Keys!$C$7^ROUNDUP((Y$60-Keys!$C$6)/Keys!$C$8,0))</f>
        <v>6579.1778929417314</v>
      </c>
      <c r="Z93">
        <f>Y93*(1+$AC93/Keys!$C$7^ROUNDUP((Z$60-Keys!$C$6)/Keys!$C$8,0))</f>
        <v>6583.2517837064424</v>
      </c>
      <c r="AA93">
        <f>Z93*(1+$AC93/Keys!$C$7^ROUNDUP((AA$60-Keys!$C$6)/Keys!$C$8,0))</f>
        <v>6587.3281970638291</v>
      </c>
      <c r="AB93">
        <f>AA93*(1+$AC93/Keys!$C$7^ROUNDUP((AB$60-Keys!$C$6)/Keys!$C$8,0))</f>
        <v>6591.4071345759048</v>
      </c>
      <c r="AC93">
        <f>IFERROR((EPRI_PI2026!$I$36/EPRI_PI2026!$F$36)^(1/6)-1,0)</f>
        <v>0.15851768302007141</v>
      </c>
    </row>
    <row r="94" spans="1:29" x14ac:dyDescent="0.45">
      <c r="A94" t="s">
        <v>91</v>
      </c>
      <c r="B94">
        <f>IFERROR(EPRI_PI2026!$F$37,0)</f>
        <v>745</v>
      </c>
      <c r="C94">
        <f t="shared" si="9"/>
        <v>784.79252344238978</v>
      </c>
      <c r="D94">
        <f t="shared" si="9"/>
        <v>826.71047631016631</v>
      </c>
      <c r="E94">
        <f t="shared" si="9"/>
        <v>870.86738370431601</v>
      </c>
      <c r="F94">
        <f t="shared" si="9"/>
        <v>917.38283441742556</v>
      </c>
      <c r="G94">
        <f t="shared" si="9"/>
        <v>966.38280481232675</v>
      </c>
      <c r="H94">
        <f t="shared" si="9"/>
        <v>1018.0000000000005</v>
      </c>
      <c r="I94">
        <f>H94*(1+$AC94/Keys!$C$7^ROUNDUP((I$60-Keys!$C$6)/Keys!$C$8,0))</f>
        <v>1031.5935533101861</v>
      </c>
      <c r="J94">
        <f>I94*(1+$AC94/Keys!$C$7^ROUNDUP((J$60-Keys!$C$6)/Keys!$C$8,0))</f>
        <v>1045.3686239991505</v>
      </c>
      <c r="K94">
        <f>J94*(1+$AC94/Keys!$C$7^ROUNDUP((K$60-Keys!$C$6)/Keys!$C$8,0))</f>
        <v>1059.3276359039912</v>
      </c>
      <c r="L94">
        <f>K94*(1+$AC94/Keys!$C$7^ROUNDUP((L$60-Keys!$C$6)/Keys!$C$8,0))</f>
        <v>1073.4730452277768</v>
      </c>
      <c r="M94">
        <f>L94*(1+$AC94/Keys!$C$7^ROUNDUP((M$60-Keys!$C$6)/Keys!$C$8,0))</f>
        <v>1087.8073409717365</v>
      </c>
      <c r="N94">
        <f>M94*(1+$AC94/Keys!$C$7^ROUNDUP((N$60-Keys!$C$6)/Keys!$C$8,0))</f>
        <v>1091.4387670721073</v>
      </c>
      <c r="O94">
        <f>N94*(1+$AC94/Keys!$C$7^ROUNDUP((O$60-Keys!$C$6)/Keys!$C$8,0))</f>
        <v>1095.0823159584033</v>
      </c>
      <c r="P94">
        <f>O94*(1+$AC94/Keys!$C$7^ROUNDUP((P$60-Keys!$C$6)/Keys!$C$8,0))</f>
        <v>1098.7380281001081</v>
      </c>
      <c r="Q94">
        <f>P94*(1+$AC94/Keys!$C$7^ROUNDUP((Q$60-Keys!$C$6)/Keys!$C$8,0))</f>
        <v>1102.4059441018042</v>
      </c>
      <c r="R94">
        <f>Q94*(1+$AC94/Keys!$C$7^ROUNDUP((R$60-Keys!$C$6)/Keys!$C$8,0))</f>
        <v>1106.0861047036246</v>
      </c>
      <c r="S94">
        <f>R94*(1+$AC94/Keys!$C$7^ROUNDUP((S$60-Keys!$C$6)/Keys!$C$8,0))</f>
        <v>1107.0092162231449</v>
      </c>
      <c r="T94">
        <f>S94*(1+$AC94/Keys!$C$7^ROUNDUP((T$60-Keys!$C$6)/Keys!$C$8,0))</f>
        <v>1107.9330981482185</v>
      </c>
      <c r="U94">
        <f>T94*(1+$AC94/Keys!$C$7^ROUNDUP((U$60-Keys!$C$6)/Keys!$C$8,0))</f>
        <v>1108.8577511218064</v>
      </c>
      <c r="V94">
        <f>U94*(1+$AC94/Keys!$C$7^ROUNDUP((V$60-Keys!$C$6)/Keys!$C$8,0))</f>
        <v>1109.7831757874062</v>
      </c>
      <c r="W94">
        <f>V94*(1+$AC94/Keys!$C$7^ROUNDUP((W$60-Keys!$C$6)/Keys!$C$8,0))</f>
        <v>1110.7093727890524</v>
      </c>
      <c r="X94">
        <f>W94*(1+$AC94/Keys!$C$7^ROUNDUP((X$60-Keys!$C$6)/Keys!$C$8,0))</f>
        <v>1110.9411152846187</v>
      </c>
      <c r="Y94">
        <f>X94*(1+$AC94/Keys!$C$7^ROUNDUP((Y$60-Keys!$C$6)/Keys!$C$8,0))</f>
        <v>1111.1729061317931</v>
      </c>
      <c r="Z94">
        <f>Y94*(1+$AC94/Keys!$C$7^ROUNDUP((Z$60-Keys!$C$6)/Keys!$C$8,0))</f>
        <v>1111.4047453406638</v>
      </c>
      <c r="AA94">
        <f>Z94*(1+$AC94/Keys!$C$7^ROUNDUP((AA$60-Keys!$C$6)/Keys!$C$8,0))</f>
        <v>1111.6366329213211</v>
      </c>
      <c r="AB94">
        <f>AA94*(1+$AC94/Keys!$C$7^ROUNDUP((AB$60-Keys!$C$6)/Keys!$C$8,0))</f>
        <v>1111.8685688838575</v>
      </c>
      <c r="AC94">
        <f>IFERROR((EPRI_PI2026!$I$37/EPRI_PI2026!$F$37)^(1/6)-1,0)</f>
        <v>5.3412783144147324E-2</v>
      </c>
    </row>
    <row r="95" spans="1:29" x14ac:dyDescent="0.45">
      <c r="A95" t="s">
        <v>93</v>
      </c>
      <c r="B95">
        <f>IFERROR(EPRI_PI2026!$F$38,0)</f>
        <v>2982</v>
      </c>
      <c r="C95">
        <f t="shared" si="9"/>
        <v>3082.0553590270897</v>
      </c>
      <c r="D95">
        <f t="shared" si="9"/>
        <v>3185.4678860186464</v>
      </c>
      <c r="E95">
        <f t="shared" si="9"/>
        <v>3292.3502243837906</v>
      </c>
      <c r="F95">
        <f t="shared" si="9"/>
        <v>3402.8187970677745</v>
      </c>
      <c r="G95">
        <f t="shared" si="9"/>
        <v>3516.9939333671527</v>
      </c>
      <c r="H95">
        <f t="shared" si="9"/>
        <v>3634.9999999999986</v>
      </c>
      <c r="I95">
        <f>H95*(1+$AC95/Keys!$C$7^ROUNDUP((I$60-Keys!$C$6)/Keys!$C$8,0))</f>
        <v>3665.4913841434823</v>
      </c>
      <c r="J95">
        <f>I95*(1+$AC95/Keys!$C$7^ROUNDUP((J$60-Keys!$C$6)/Keys!$C$8,0))</f>
        <v>3696.2385384401946</v>
      </c>
      <c r="K95">
        <f>J95*(1+$AC95/Keys!$C$7^ROUNDUP((K$60-Keys!$C$6)/Keys!$C$8,0))</f>
        <v>3727.2436083608354</v>
      </c>
      <c r="L95">
        <f>K95*(1+$AC95/Keys!$C$7^ROUNDUP((L$60-Keys!$C$6)/Keys!$C$8,0))</f>
        <v>3758.5087573729056</v>
      </c>
      <c r="M95">
        <f>L95*(1+$AC95/Keys!$C$7^ROUNDUP((M$60-Keys!$C$6)/Keys!$C$8,0))</f>
        <v>3790.0361670916691</v>
      </c>
      <c r="N95">
        <f>M95*(1+$AC95/Keys!$C$7^ROUNDUP((N$60-Keys!$C$6)/Keys!$C$8,0))</f>
        <v>3797.9841346768471</v>
      </c>
      <c r="O95">
        <f>N95*(1+$AC95/Keys!$C$7^ROUNDUP((O$60-Keys!$C$6)/Keys!$C$8,0))</f>
        <v>3805.9487696989436</v>
      </c>
      <c r="P95">
        <f>O95*(1+$AC95/Keys!$C$7^ROUNDUP((P$60-Keys!$C$6)/Keys!$C$8,0))</f>
        <v>3813.9301071107252</v>
      </c>
      <c r="Q95">
        <f>P95*(1+$AC95/Keys!$C$7^ROUNDUP((Q$60-Keys!$C$6)/Keys!$C$8,0))</f>
        <v>3821.9281819382568</v>
      </c>
      <c r="R95">
        <f>Q95*(1+$AC95/Keys!$C$7^ROUNDUP((R$60-Keys!$C$6)/Keys!$C$8,0))</f>
        <v>3829.9430292810548</v>
      </c>
      <c r="S95">
        <f>R95*(1+$AC95/Keys!$C$7^ROUNDUP((S$60-Keys!$C$6)/Keys!$C$8,0))</f>
        <v>3831.9509430388516</v>
      </c>
      <c r="T95">
        <f>S95*(1+$AC95/Keys!$C$7^ROUNDUP((T$60-Keys!$C$6)/Keys!$C$8,0))</f>
        <v>3833.9599094801033</v>
      </c>
      <c r="U95">
        <f>T95*(1+$AC95/Keys!$C$7^ROUNDUP((U$60-Keys!$C$6)/Keys!$C$8,0))</f>
        <v>3835.9699291566967</v>
      </c>
      <c r="V95">
        <f>U95*(1+$AC95/Keys!$C$7^ROUNDUP((V$60-Keys!$C$6)/Keys!$C$8,0))</f>
        <v>3837.9810026208092</v>
      </c>
      <c r="W95">
        <f>V95*(1+$AC95/Keys!$C$7^ROUNDUP((W$60-Keys!$C$6)/Keys!$C$8,0))</f>
        <v>3839.9931304249067</v>
      </c>
      <c r="X95">
        <f>W95*(1+$AC95/Keys!$C$7^ROUNDUP((X$60-Keys!$C$6)/Keys!$C$8,0))</f>
        <v>3840.4964260991164</v>
      </c>
      <c r="Y95">
        <f>X95*(1+$AC95/Keys!$C$7^ROUNDUP((Y$60-Keys!$C$6)/Keys!$C$8,0))</f>
        <v>3840.9997877386882</v>
      </c>
      <c r="Z95">
        <f>Y95*(1+$AC95/Keys!$C$7^ROUNDUP((Z$60-Keys!$C$6)/Keys!$C$8,0))</f>
        <v>3841.503215352267</v>
      </c>
      <c r="AA95">
        <f>Z95*(1+$AC95/Keys!$C$7^ROUNDUP((AA$60-Keys!$C$6)/Keys!$C$8,0))</f>
        <v>3842.0067089485005</v>
      </c>
      <c r="AB95">
        <f>AA95*(1+$AC95/Keys!$C$7^ROUNDUP((AB$60-Keys!$C$6)/Keys!$C$8,0))</f>
        <v>3842.5102685360371</v>
      </c>
      <c r="AC95">
        <f>IFERROR((EPRI_PI2026!$I$38/EPRI_PI2026!$F$38)^(1/6)-1,0)</f>
        <v>3.3553104972196435E-2</v>
      </c>
    </row>
    <row r="96" spans="1:29" x14ac:dyDescent="0.45">
      <c r="A96" t="s">
        <v>95</v>
      </c>
      <c r="B96">
        <f>IFERROR(EPRI_PI2026!$F$39,0)</f>
        <v>631</v>
      </c>
      <c r="C96">
        <f t="shared" si="9"/>
        <v>808.97634211874526</v>
      </c>
      <c r="D96">
        <f t="shared" si="9"/>
        <v>1037.1516990615296</v>
      </c>
      <c r="E96">
        <f t="shared" si="9"/>
        <v>1329.6849250856385</v>
      </c>
      <c r="F96">
        <f t="shared" si="9"/>
        <v>1704.7284419432926</v>
      </c>
      <c r="G96">
        <f t="shared" si="9"/>
        <v>2185.5546422647744</v>
      </c>
      <c r="H96">
        <f t="shared" si="9"/>
        <v>2802</v>
      </c>
      <c r="I96">
        <f>H96*(1+$AC96/Keys!$C$7^ROUNDUP((I$60-Keys!$C$6)/Keys!$C$8,0))</f>
        <v>2999.5791246500494</v>
      </c>
      <c r="J96">
        <f>I96*(1+$AC96/Keys!$C$7^ROUNDUP((J$60-Keys!$C$6)/Keys!$C$8,0))</f>
        <v>3211.0902658944883</v>
      </c>
      <c r="K96">
        <f>J96*(1+$AC96/Keys!$C$7^ROUNDUP((K$60-Keys!$C$6)/Keys!$C$8,0))</f>
        <v>3437.5158204654117</v>
      </c>
      <c r="L96">
        <f>K96*(1+$AC96/Keys!$C$7^ROUNDUP((L$60-Keys!$C$6)/Keys!$C$8,0))</f>
        <v>3679.9074574312403</v>
      </c>
      <c r="M96">
        <f>L96*(1+$AC96/Keys!$C$7^ROUNDUP((M$60-Keys!$C$6)/Keys!$C$8,0))</f>
        <v>3939.3910028389678</v>
      </c>
      <c r="N96">
        <f>M96*(1+$AC96/Keys!$C$7^ROUNDUP((N$60-Keys!$C$6)/Keys!$C$8,0))</f>
        <v>4008.836169326762</v>
      </c>
      <c r="O96">
        <f>N96*(1+$AC96/Keys!$C$7^ROUNDUP((O$60-Keys!$C$6)/Keys!$C$8,0))</f>
        <v>4079.5055430955908</v>
      </c>
      <c r="P96">
        <f>O96*(1+$AC96/Keys!$C$7^ROUNDUP((P$60-Keys!$C$6)/Keys!$C$8,0))</f>
        <v>4151.4207049629931</v>
      </c>
      <c r="Q96">
        <f>P96*(1+$AC96/Keys!$C$7^ROUNDUP((Q$60-Keys!$C$6)/Keys!$C$8,0))</f>
        <v>4224.6036161818256</v>
      </c>
      <c r="R96">
        <f>Q96*(1+$AC96/Keys!$C$7^ROUNDUP((R$60-Keys!$C$6)/Keys!$C$8,0))</f>
        <v>4299.0766251467285</v>
      </c>
      <c r="S96">
        <f>R96*(1+$AC96/Keys!$C$7^ROUNDUP((S$60-Keys!$C$6)/Keys!$C$8,0))</f>
        <v>4318.023087414751</v>
      </c>
      <c r="T96">
        <f>S96*(1+$AC96/Keys!$C$7^ROUNDUP((T$60-Keys!$C$6)/Keys!$C$8,0))</f>
        <v>4337.0530486440093</v>
      </c>
      <c r="U96">
        <f>T96*(1+$AC96/Keys!$C$7^ROUNDUP((U$60-Keys!$C$6)/Keys!$C$8,0))</f>
        <v>4356.1668768228083</v>
      </c>
      <c r="V96">
        <f>U96*(1+$AC96/Keys!$C$7^ROUNDUP((V$60-Keys!$C$6)/Keys!$C$8,0))</f>
        <v>4375.3649415612144</v>
      </c>
      <c r="W96">
        <f>V96*(1+$AC96/Keys!$C$7^ROUNDUP((W$60-Keys!$C$6)/Keys!$C$8,0))</f>
        <v>4394.6476140982013</v>
      </c>
      <c r="X96">
        <f>W96*(1+$AC96/Keys!$C$7^ROUNDUP((X$60-Keys!$C$6)/Keys!$C$8,0))</f>
        <v>4399.4895274008586</v>
      </c>
      <c r="Y96">
        <f>X96*(1+$AC96/Keys!$C$7^ROUNDUP((Y$60-Keys!$C$6)/Keys!$C$8,0))</f>
        <v>4404.336775403016</v>
      </c>
      <c r="Z96">
        <f>Y96*(1+$AC96/Keys!$C$7^ROUNDUP((Z$60-Keys!$C$6)/Keys!$C$8,0))</f>
        <v>4409.189363982312</v>
      </c>
      <c r="AA96">
        <f>Z96*(1+$AC96/Keys!$C$7^ROUNDUP((AA$60-Keys!$C$6)/Keys!$C$8,0))</f>
        <v>4414.0472990228627</v>
      </c>
      <c r="AB96">
        <f>AA96*(1+$AC96/Keys!$C$7^ROUNDUP((AB$60-Keys!$C$6)/Keys!$C$8,0))</f>
        <v>4418.9105864152652</v>
      </c>
      <c r="AC96">
        <f>IFERROR((EPRI_PI2026!$I$39/EPRI_PI2026!$F$39)^(1/6)-1,0)</f>
        <v>0.28205442491084831</v>
      </c>
    </row>
    <row r="97" spans="1:29" x14ac:dyDescent="0.45">
      <c r="A97" t="s">
        <v>97</v>
      </c>
      <c r="B97">
        <f>IFERROR(EPRI_PI2026!$F$40,0)</f>
        <v>3</v>
      </c>
      <c r="C97">
        <f t="shared" si="9"/>
        <v>3</v>
      </c>
      <c r="D97">
        <f t="shared" si="9"/>
        <v>3</v>
      </c>
      <c r="E97">
        <f t="shared" si="9"/>
        <v>3</v>
      </c>
      <c r="F97">
        <f t="shared" si="9"/>
        <v>3</v>
      </c>
      <c r="G97">
        <f t="shared" si="9"/>
        <v>3</v>
      </c>
      <c r="H97">
        <f t="shared" si="9"/>
        <v>3</v>
      </c>
      <c r="I97">
        <f>H97*(1+$AC97/Keys!$C$7^ROUNDUP((I$60-Keys!$C$6)/Keys!$C$8,0))</f>
        <v>3</v>
      </c>
      <c r="J97">
        <f>I97*(1+$AC97/Keys!$C$7^ROUNDUP((J$60-Keys!$C$6)/Keys!$C$8,0))</f>
        <v>3</v>
      </c>
      <c r="K97">
        <f>J97*(1+$AC97/Keys!$C$7^ROUNDUP((K$60-Keys!$C$6)/Keys!$C$8,0))</f>
        <v>3</v>
      </c>
      <c r="L97">
        <f>K97*(1+$AC97/Keys!$C$7^ROUNDUP((L$60-Keys!$C$6)/Keys!$C$8,0))</f>
        <v>3</v>
      </c>
      <c r="M97">
        <f>L97*(1+$AC97/Keys!$C$7^ROUNDUP((M$60-Keys!$C$6)/Keys!$C$8,0))</f>
        <v>3</v>
      </c>
      <c r="N97">
        <f>M97*(1+$AC97/Keys!$C$7^ROUNDUP((N$60-Keys!$C$6)/Keys!$C$8,0))</f>
        <v>3</v>
      </c>
      <c r="O97">
        <f>N97*(1+$AC97/Keys!$C$7^ROUNDUP((O$60-Keys!$C$6)/Keys!$C$8,0))</f>
        <v>3</v>
      </c>
      <c r="P97">
        <f>O97*(1+$AC97/Keys!$C$7^ROUNDUP((P$60-Keys!$C$6)/Keys!$C$8,0))</f>
        <v>3</v>
      </c>
      <c r="Q97">
        <f>P97*(1+$AC97/Keys!$C$7^ROUNDUP((Q$60-Keys!$C$6)/Keys!$C$8,0))</f>
        <v>3</v>
      </c>
      <c r="R97">
        <f>Q97*(1+$AC97/Keys!$C$7^ROUNDUP((R$60-Keys!$C$6)/Keys!$C$8,0))</f>
        <v>3</v>
      </c>
      <c r="S97">
        <f>R97*(1+$AC97/Keys!$C$7^ROUNDUP((S$60-Keys!$C$6)/Keys!$C$8,0))</f>
        <v>3</v>
      </c>
      <c r="T97">
        <f>S97*(1+$AC97/Keys!$C$7^ROUNDUP((T$60-Keys!$C$6)/Keys!$C$8,0))</f>
        <v>3</v>
      </c>
      <c r="U97">
        <f>T97*(1+$AC97/Keys!$C$7^ROUNDUP((U$60-Keys!$C$6)/Keys!$C$8,0))</f>
        <v>3</v>
      </c>
      <c r="V97">
        <f>U97*(1+$AC97/Keys!$C$7^ROUNDUP((V$60-Keys!$C$6)/Keys!$C$8,0))</f>
        <v>3</v>
      </c>
      <c r="W97">
        <f>V97*(1+$AC97/Keys!$C$7^ROUNDUP((W$60-Keys!$C$6)/Keys!$C$8,0))</f>
        <v>3</v>
      </c>
      <c r="X97">
        <f>W97*(1+$AC97/Keys!$C$7^ROUNDUP((X$60-Keys!$C$6)/Keys!$C$8,0))</f>
        <v>3</v>
      </c>
      <c r="Y97">
        <f>X97*(1+$AC97/Keys!$C$7^ROUNDUP((Y$60-Keys!$C$6)/Keys!$C$8,0))</f>
        <v>3</v>
      </c>
      <c r="Z97">
        <f>Y97*(1+$AC97/Keys!$C$7^ROUNDUP((Z$60-Keys!$C$6)/Keys!$C$8,0))</f>
        <v>3</v>
      </c>
      <c r="AA97">
        <f>Z97*(1+$AC97/Keys!$C$7^ROUNDUP((AA$60-Keys!$C$6)/Keys!$C$8,0))</f>
        <v>3</v>
      </c>
      <c r="AB97">
        <f>AA97*(1+$AC97/Keys!$C$7^ROUNDUP((AB$60-Keys!$C$6)/Keys!$C$8,0))</f>
        <v>3</v>
      </c>
      <c r="AC97">
        <f>IFERROR((EPRI_PI2026!$I$40/EPRI_PI2026!$F$40)^(1/6)-1,0)</f>
        <v>0</v>
      </c>
    </row>
    <row r="98" spans="1:29" x14ac:dyDescent="0.45">
      <c r="A98" t="s">
        <v>99</v>
      </c>
      <c r="B98">
        <f>IFERROR(EPRI_PI2026!$F$41,0)</f>
        <v>551</v>
      </c>
      <c r="C98">
        <f t="shared" si="9"/>
        <v>658.81575801711142</v>
      </c>
      <c r="D98">
        <f t="shared" si="9"/>
        <v>787.72813613731591</v>
      </c>
      <c r="E98">
        <f t="shared" si="9"/>
        <v>941.86517081798934</v>
      </c>
      <c r="F98">
        <f t="shared" si="9"/>
        <v>1126.1626433073861</v>
      </c>
      <c r="G98">
        <f t="shared" si="9"/>
        <v>1346.522133395843</v>
      </c>
      <c r="H98">
        <f t="shared" si="9"/>
        <v>1610.0000000000005</v>
      </c>
      <c r="I98">
        <f>H98*(1+$AC98/Keys!$C$7^ROUNDUP((I$60-Keys!$C$6)/Keys!$C$8,0))</f>
        <v>1688.7583350306493</v>
      </c>
      <c r="J98">
        <f>I98*(1+$AC98/Keys!$C$7^ROUNDUP((J$60-Keys!$C$6)/Keys!$C$8,0))</f>
        <v>1771.3693876617949</v>
      </c>
      <c r="K98">
        <f>J98*(1+$AC98/Keys!$C$7^ROUNDUP((K$60-Keys!$C$6)/Keys!$C$8,0))</f>
        <v>1858.0216259826041</v>
      </c>
      <c r="L98">
        <f>K98*(1+$AC98/Keys!$C$7^ROUNDUP((L$60-Keys!$C$6)/Keys!$C$8,0))</f>
        <v>1948.9127376057895</v>
      </c>
      <c r="M98">
        <f>L98*(1+$AC98/Keys!$C$7^ROUNDUP((M$60-Keys!$C$6)/Keys!$C$8,0))</f>
        <v>2044.250080670296</v>
      </c>
      <c r="N98">
        <f>M98*(1+$AC98/Keys!$C$7^ROUNDUP((N$60-Keys!$C$6)/Keys!$C$8,0))</f>
        <v>2069.2503497292805</v>
      </c>
      <c r="O98">
        <f>N98*(1+$AC98/Keys!$C$7^ROUNDUP((O$60-Keys!$C$6)/Keys!$C$8,0))</f>
        <v>2094.5563609569613</v>
      </c>
      <c r="P98">
        <f>O98*(1+$AC98/Keys!$C$7^ROUNDUP((P$60-Keys!$C$6)/Keys!$C$8,0))</f>
        <v>2120.1718534440456</v>
      </c>
      <c r="Q98">
        <f>P98*(1+$AC98/Keys!$C$7^ROUNDUP((Q$60-Keys!$C$6)/Keys!$C$8,0))</f>
        <v>2146.1006120086568</v>
      </c>
      <c r="R98">
        <f>Q98*(1+$AC98/Keys!$C$7^ROUNDUP((R$60-Keys!$C$6)/Keys!$C$8,0))</f>
        <v>2172.3464677555598</v>
      </c>
      <c r="S98">
        <f>R98*(1+$AC98/Keys!$C$7^ROUNDUP((S$60-Keys!$C$6)/Keys!$C$8,0))</f>
        <v>2178.9881754772264</v>
      </c>
      <c r="T98">
        <f>S98*(1+$AC98/Keys!$C$7^ROUNDUP((T$60-Keys!$C$6)/Keys!$C$8,0))</f>
        <v>2185.650189481576</v>
      </c>
      <c r="U98">
        <f>T98*(1+$AC98/Keys!$C$7^ROUNDUP((U$60-Keys!$C$6)/Keys!$C$8,0))</f>
        <v>2192.3325718528099</v>
      </c>
      <c r="V98">
        <f>U98*(1+$AC98/Keys!$C$7^ROUNDUP((V$60-Keys!$C$6)/Keys!$C$8,0))</f>
        <v>2199.0353848649443</v>
      </c>
      <c r="W98">
        <f>V98*(1+$AC98/Keys!$C$7^ROUNDUP((W$60-Keys!$C$6)/Keys!$C$8,0))</f>
        <v>2205.7586909823913</v>
      </c>
      <c r="X98">
        <f>W98*(1+$AC98/Keys!$C$7^ROUNDUP((X$60-Keys!$C$6)/Keys!$C$8,0))</f>
        <v>2207.4446564519289</v>
      </c>
      <c r="Y98">
        <f>X98*(1+$AC98/Keys!$C$7^ROUNDUP((Y$60-Keys!$C$6)/Keys!$C$8,0))</f>
        <v>2209.131910584445</v>
      </c>
      <c r="Z98">
        <f>Y98*(1+$AC98/Keys!$C$7^ROUNDUP((Z$60-Keys!$C$6)/Keys!$C$8,0))</f>
        <v>2210.8204543649254</v>
      </c>
      <c r="AA98">
        <f>Z98*(1+$AC98/Keys!$C$7^ROUNDUP((AA$60-Keys!$C$6)/Keys!$C$8,0))</f>
        <v>2212.510288779109</v>
      </c>
      <c r="AB98">
        <f>AA98*(1+$AC98/Keys!$C$7^ROUNDUP((AB$60-Keys!$C$6)/Keys!$C$8,0))</f>
        <v>2214.2014148134881</v>
      </c>
      <c r="AC98">
        <f>IFERROR((EPRI_PI2026!$I$41/EPRI_PI2026!$F$41)^(1/6)-1,0)</f>
        <v>0.19567288206372302</v>
      </c>
    </row>
    <row r="99" spans="1:29" x14ac:dyDescent="0.45">
      <c r="A99" t="s">
        <v>101</v>
      </c>
      <c r="B99">
        <f>IFERROR(EPRI_PI2026!$F$42,0)</f>
        <v>30</v>
      </c>
      <c r="C99">
        <f t="shared" si="9"/>
        <v>30.164397919846163</v>
      </c>
      <c r="D99">
        <f t="shared" si="9"/>
        <v>30.329696728893982</v>
      </c>
      <c r="E99">
        <f t="shared" si="9"/>
        <v>30.49590136395382</v>
      </c>
      <c r="F99">
        <f t="shared" si="9"/>
        <v>30.663016788889411</v>
      </c>
      <c r="G99">
        <f t="shared" si="9"/>
        <v>30.831047994766124</v>
      </c>
      <c r="H99">
        <f t="shared" si="9"/>
        <v>31.000000000000014</v>
      </c>
      <c r="I99">
        <f>H99*(1+$AC99/Keys!$C$7^ROUNDUP((I$60-Keys!$C$6)/Keys!$C$8,0))</f>
        <v>31.042469462626936</v>
      </c>
      <c r="J99">
        <f>I99*(1+$AC99/Keys!$C$7^ROUNDUP((J$60-Keys!$C$6)/Keys!$C$8,0))</f>
        <v>31.084997107681467</v>
      </c>
      <c r="K99">
        <f>J99*(1+$AC99/Keys!$C$7^ROUNDUP((K$60-Keys!$C$6)/Keys!$C$8,0))</f>
        <v>31.127583014872521</v>
      </c>
      <c r="L99">
        <f>K99*(1+$AC99/Keys!$C$7^ROUNDUP((L$60-Keys!$C$6)/Keys!$C$8,0))</f>
        <v>31.170227264018216</v>
      </c>
      <c r="M99">
        <f>L99*(1+$AC99/Keys!$C$7^ROUNDUP((M$60-Keys!$C$6)/Keys!$C$8,0))</f>
        <v>31.21292993504602</v>
      </c>
      <c r="N99">
        <f>M99*(1+$AC99/Keys!$C$7^ROUNDUP((N$60-Keys!$C$6)/Keys!$C$8,0))</f>
        <v>31.223620228282744</v>
      </c>
      <c r="O99">
        <f>N99*(1+$AC99/Keys!$C$7^ROUNDUP((O$60-Keys!$C$6)/Keys!$C$8,0))</f>
        <v>31.234314182898572</v>
      </c>
      <c r="P99">
        <f>O99*(1+$AC99/Keys!$C$7^ROUNDUP((P$60-Keys!$C$6)/Keys!$C$8,0))</f>
        <v>31.245011800147513</v>
      </c>
      <c r="Q99">
        <f>P99*(1+$AC99/Keys!$C$7^ROUNDUP((Q$60-Keys!$C$6)/Keys!$C$8,0))</f>
        <v>31.255713081284</v>
      </c>
      <c r="R99">
        <f>Q99*(1+$AC99/Keys!$C$7^ROUNDUP((R$60-Keys!$C$6)/Keys!$C$8,0))</f>
        <v>31.266418027562903</v>
      </c>
      <c r="S99">
        <f>R99*(1+$AC99/Keys!$C$7^ROUNDUP((S$60-Keys!$C$6)/Keys!$C$8,0))</f>
        <v>31.269095180732055</v>
      </c>
      <c r="T99">
        <f>S99*(1+$AC99/Keys!$C$7^ROUNDUP((T$60-Keys!$C$6)/Keys!$C$8,0))</f>
        <v>31.271772563129545</v>
      </c>
      <c r="U99">
        <f>T99*(1+$AC99/Keys!$C$7^ROUNDUP((U$60-Keys!$C$6)/Keys!$C$8,0))</f>
        <v>31.274450174775001</v>
      </c>
      <c r="V99">
        <f>U99*(1+$AC99/Keys!$C$7^ROUNDUP((V$60-Keys!$C$6)/Keys!$C$8,0))</f>
        <v>31.277128015688056</v>
      </c>
      <c r="W99">
        <f>V99*(1+$AC99/Keys!$C$7^ROUNDUP((W$60-Keys!$C$6)/Keys!$C$8,0))</f>
        <v>31.279806085888339</v>
      </c>
      <c r="X99">
        <f>W99*(1+$AC99/Keys!$C$7^ROUNDUP((X$60-Keys!$C$6)/Keys!$C$8,0))</f>
        <v>31.280475660765124</v>
      </c>
      <c r="Y99">
        <f>X99*(1+$AC99/Keys!$C$7^ROUNDUP((Y$60-Keys!$C$6)/Keys!$C$8,0))</f>
        <v>31.281145249974813</v>
      </c>
      <c r="Z99">
        <f>Y99*(1+$AC99/Keys!$C$7^ROUNDUP((Z$60-Keys!$C$6)/Keys!$C$8,0))</f>
        <v>31.281814853517716</v>
      </c>
      <c r="AA99">
        <f>Z99*(1+$AC99/Keys!$C$7^ROUNDUP((AA$60-Keys!$C$6)/Keys!$C$8,0))</f>
        <v>31.282484471394138</v>
      </c>
      <c r="AB99">
        <f>AA99*(1+$AC99/Keys!$C$7^ROUNDUP((AB$60-Keys!$C$6)/Keys!$C$8,0))</f>
        <v>31.283154103604385</v>
      </c>
      <c r="AC99">
        <f>IFERROR((EPRI_PI2026!$I$42/EPRI_PI2026!$F$42)^(1/6)-1,0)</f>
        <v>5.4799306615387344E-3</v>
      </c>
    </row>
    <row r="100" spans="1:29" x14ac:dyDescent="0.45">
      <c r="A100" t="s">
        <v>103</v>
      </c>
      <c r="B100">
        <f>IFERROR(EPRI_PI2026!$F$43,0)</f>
        <v>755</v>
      </c>
      <c r="C100">
        <f t="shared" si="9"/>
        <v>819.31261001473626</v>
      </c>
      <c r="D100">
        <f t="shared" si="9"/>
        <v>889.10351381345606</v>
      </c>
      <c r="E100">
        <f t="shared" si="9"/>
        <v>964.83936486857726</v>
      </c>
      <c r="F100">
        <f t="shared" si="9"/>
        <v>1047.0265672522312</v>
      </c>
      <c r="G100">
        <f t="shared" si="9"/>
        <v>1136.2146616823779</v>
      </c>
      <c r="H100">
        <f t="shared" si="9"/>
        <v>1232.9999999999995</v>
      </c>
      <c r="I100">
        <f>H100*(1+$AC100/Keys!$C$7^ROUNDUP((I$60-Keys!$C$6)/Keys!$C$8,0))</f>
        <v>1259.2574331616452</v>
      </c>
      <c r="J100">
        <f>I100*(1+$AC100/Keys!$C$7^ROUNDUP((J$60-Keys!$C$6)/Keys!$C$8,0))</f>
        <v>1286.0740332302157</v>
      </c>
      <c r="K100">
        <f>J100*(1+$AC100/Keys!$C$7^ROUNDUP((K$60-Keys!$C$6)/Keys!$C$8,0))</f>
        <v>1313.461707981611</v>
      </c>
      <c r="L100">
        <f>K100*(1+$AC100/Keys!$C$7^ROUNDUP((L$60-Keys!$C$6)/Keys!$C$8,0))</f>
        <v>1341.4326187745617</v>
      </c>
      <c r="M100">
        <f>L100*(1+$AC100/Keys!$C$7^ROUNDUP((M$60-Keys!$C$6)/Keys!$C$8,0))</f>
        <v>1369.9991859508182</v>
      </c>
      <c r="N100">
        <f>M100*(1+$AC100/Keys!$C$7^ROUNDUP((N$60-Keys!$C$6)/Keys!$C$8,0))</f>
        <v>1377.2929130506991</v>
      </c>
      <c r="O100">
        <f>N100*(1+$AC100/Keys!$C$7^ROUNDUP((O$60-Keys!$C$6)/Keys!$C$8,0))</f>
        <v>1384.62547116271</v>
      </c>
      <c r="P100">
        <f>O100*(1+$AC100/Keys!$C$7^ROUNDUP((P$60-Keys!$C$6)/Keys!$C$8,0))</f>
        <v>1391.9970670189484</v>
      </c>
      <c r="Q100">
        <f>P100*(1+$AC100/Keys!$C$7^ROUNDUP((Q$60-Keys!$C$6)/Keys!$C$8,0))</f>
        <v>1399.4079084521311</v>
      </c>
      <c r="R100">
        <f>Q100*(1+$AC100/Keys!$C$7^ROUNDUP((R$60-Keys!$C$6)/Keys!$C$8,0))</f>
        <v>1406.858204401454</v>
      </c>
      <c r="S100">
        <f>R100*(1+$AC100/Keys!$C$7^ROUNDUP((S$60-Keys!$C$6)/Keys!$C$8,0))</f>
        <v>1408.7306945307112</v>
      </c>
      <c r="T100">
        <f>S100*(1+$AC100/Keys!$C$7^ROUNDUP((T$60-Keys!$C$6)/Keys!$C$8,0))</f>
        <v>1410.6056768935659</v>
      </c>
      <c r="U100">
        <f>T100*(1+$AC100/Keys!$C$7^ROUNDUP((U$60-Keys!$C$6)/Keys!$C$8,0))</f>
        <v>1412.4831548071136</v>
      </c>
      <c r="V100">
        <f>U100*(1+$AC100/Keys!$C$7^ROUNDUP((V$60-Keys!$C$6)/Keys!$C$8,0))</f>
        <v>1414.3631315928646</v>
      </c>
      <c r="W100">
        <f>V100*(1+$AC100/Keys!$C$7^ROUNDUP((W$60-Keys!$C$6)/Keys!$C$8,0))</f>
        <v>1416.2456105767501</v>
      </c>
      <c r="X100">
        <f>W100*(1+$AC100/Keys!$C$7^ROUNDUP((X$60-Keys!$C$6)/Keys!$C$8,0))</f>
        <v>1416.7168567048448</v>
      </c>
      <c r="Y100">
        <f>X100*(1+$AC100/Keys!$C$7^ROUNDUP((Y$60-Keys!$C$6)/Keys!$C$8,0))</f>
        <v>1417.1882596368946</v>
      </c>
      <c r="Z100">
        <f>Y100*(1+$AC100/Keys!$C$7^ROUNDUP((Z$60-Keys!$C$6)/Keys!$C$8,0))</f>
        <v>1417.6598194250751</v>
      </c>
      <c r="AA100">
        <f>Z100*(1+$AC100/Keys!$C$7^ROUNDUP((AA$60-Keys!$C$6)/Keys!$C$8,0))</f>
        <v>1418.1315361215788</v>
      </c>
      <c r="AB100">
        <f>AA100*(1+$AC100/Keys!$C$7^ROUNDUP((AB$60-Keys!$C$6)/Keys!$C$8,0))</f>
        <v>1418.6034097786164</v>
      </c>
      <c r="AC100">
        <f>IFERROR((EPRI_PI2026!$I$43/EPRI_PI2026!$F$43)^(1/6)-1,0)</f>
        <v>8.518226492018055E-2</v>
      </c>
    </row>
    <row r="101" spans="1:29" x14ac:dyDescent="0.45">
      <c r="A101" t="s">
        <v>105</v>
      </c>
      <c r="B101">
        <f>IFERROR(EPRI_PI2026!$F$44,0)</f>
        <v>7315</v>
      </c>
      <c r="C101">
        <f t="shared" ref="C101:H110" si="10">B101*(1+$AC101)</f>
        <v>8155.9292500052752</v>
      </c>
      <c r="D101">
        <f t="shared" si="10"/>
        <v>9093.5313644691196</v>
      </c>
      <c r="E101">
        <f t="shared" si="10"/>
        <v>10138.919814260296</v>
      </c>
      <c r="F101">
        <f t="shared" si="10"/>
        <v>11304.485670072947</v>
      </c>
      <c r="G101">
        <f t="shared" si="10"/>
        <v>12604.044474752349</v>
      </c>
      <c r="H101">
        <f t="shared" si="10"/>
        <v>14053.000000000007</v>
      </c>
      <c r="I101">
        <f>H101*(1+$AC101/Keys!$C$7^ROUNDUP((I$60-Keys!$C$6)/Keys!$C$8,0))</f>
        <v>14456.881707119768</v>
      </c>
      <c r="J101">
        <f>I101*(1+$AC101/Keys!$C$7^ROUNDUP((J$60-Keys!$C$6)/Keys!$C$8,0))</f>
        <v>14872.370931022135</v>
      </c>
      <c r="K101">
        <f>J101*(1+$AC101/Keys!$C$7^ROUNDUP((K$60-Keys!$C$6)/Keys!$C$8,0))</f>
        <v>15299.80127048983</v>
      </c>
      <c r="L101">
        <f>K101*(1+$AC101/Keys!$C$7^ROUNDUP((L$60-Keys!$C$6)/Keys!$C$8,0))</f>
        <v>15739.515911898676</v>
      </c>
      <c r="M101">
        <f>L101*(1+$AC101/Keys!$C$7^ROUNDUP((M$60-Keys!$C$6)/Keys!$C$8,0))</f>
        <v>16191.867904763991</v>
      </c>
      <c r="N101">
        <f>M101*(1+$AC101/Keys!$C$7^ROUNDUP((N$60-Keys!$C$6)/Keys!$C$8,0))</f>
        <v>16308.206039874533</v>
      </c>
      <c r="O101">
        <f>N101*(1+$AC101/Keys!$C$7^ROUNDUP((O$60-Keys!$C$6)/Keys!$C$8,0))</f>
        <v>16425.380061354739</v>
      </c>
      <c r="P101">
        <f>O101*(1+$AC101/Keys!$C$7^ROUNDUP((P$60-Keys!$C$6)/Keys!$C$8,0))</f>
        <v>16543.395975025676</v>
      </c>
      <c r="Q101">
        <f>P101*(1+$AC101/Keys!$C$7^ROUNDUP((Q$60-Keys!$C$6)/Keys!$C$8,0))</f>
        <v>16662.259829860082</v>
      </c>
      <c r="R101">
        <f>Q101*(1+$AC101/Keys!$C$7^ROUNDUP((R$60-Keys!$C$6)/Keys!$C$8,0))</f>
        <v>16781.97771829239</v>
      </c>
      <c r="S101">
        <f>R101*(1+$AC101/Keys!$C$7^ROUNDUP((S$60-Keys!$C$6)/Keys!$C$8,0))</f>
        <v>16812.122232852045</v>
      </c>
      <c r="T101">
        <f>S101*(1+$AC101/Keys!$C$7^ROUNDUP((T$60-Keys!$C$6)/Keys!$C$8,0))</f>
        <v>16842.320894293152</v>
      </c>
      <c r="U101">
        <f>T101*(1+$AC101/Keys!$C$7^ROUNDUP((U$60-Keys!$C$6)/Keys!$C$8,0))</f>
        <v>16872.573799876685</v>
      </c>
      <c r="V101">
        <f>U101*(1+$AC101/Keys!$C$7^ROUNDUP((V$60-Keys!$C$6)/Keys!$C$8,0))</f>
        <v>16902.881047038318</v>
      </c>
      <c r="W101">
        <f>V101*(1+$AC101/Keys!$C$7^ROUNDUP((W$60-Keys!$C$6)/Keys!$C$8,0))</f>
        <v>16933.242733388743</v>
      </c>
      <c r="X101">
        <f>W101*(1+$AC101/Keys!$C$7^ROUNDUP((X$60-Keys!$C$6)/Keys!$C$8,0))</f>
        <v>16940.846789220053</v>
      </c>
      <c r="Y101">
        <f>X101*(1+$AC101/Keys!$C$7^ROUNDUP((Y$60-Keys!$C$6)/Keys!$C$8,0))</f>
        <v>16948.454259734895</v>
      </c>
      <c r="Z101">
        <f>Y101*(1+$AC101/Keys!$C$7^ROUNDUP((Z$60-Keys!$C$6)/Keys!$C$8,0))</f>
        <v>16956.065146466666</v>
      </c>
      <c r="AA101">
        <f>Z101*(1+$AC101/Keys!$C$7^ROUNDUP((AA$60-Keys!$C$6)/Keys!$C$8,0))</f>
        <v>16963.679450949458</v>
      </c>
      <c r="AB101">
        <f>AA101*(1+$AC101/Keys!$C$7^ROUNDUP((AB$60-Keys!$C$6)/Keys!$C$8,0))</f>
        <v>16971.297174718049</v>
      </c>
      <c r="AC101">
        <f>IFERROR((EPRI_PI2026!$I$44/EPRI_PI2026!$F$44)^(1/6)-1,0)</f>
        <v>0.11495956937871155</v>
      </c>
    </row>
    <row r="102" spans="1:29" x14ac:dyDescent="0.45">
      <c r="A102" t="s">
        <v>107</v>
      </c>
      <c r="B102">
        <f>IFERROR(EPRI_PI2026!$F$45,0)</f>
        <v>497</v>
      </c>
      <c r="C102">
        <f t="shared" si="10"/>
        <v>545.29750032068239</v>
      </c>
      <c r="D102">
        <f t="shared" si="10"/>
        <v>598.28845846274567</v>
      </c>
      <c r="E102">
        <f t="shared" si="10"/>
        <v>656.42897559446601</v>
      </c>
      <c r="F102">
        <f t="shared" si="10"/>
        <v>720.21947591494677</v>
      </c>
      <c r="G102">
        <f t="shared" si="10"/>
        <v>790.20901388066875</v>
      </c>
      <c r="H102">
        <f t="shared" si="10"/>
        <v>867.00000000000011</v>
      </c>
      <c r="I102">
        <f>H102*(1+$AC102/Keys!$C$7^ROUNDUP((I$60-Keys!$C$6)/Keys!$C$8,0))</f>
        <v>888.06334646782295</v>
      </c>
      <c r="J102">
        <f>I102*(1+$AC102/Keys!$C$7^ROUNDUP((J$60-Keys!$C$6)/Keys!$C$8,0))</f>
        <v>909.63841677004439</v>
      </c>
      <c r="K102">
        <f>J102*(1+$AC102/Keys!$C$7^ROUNDUP((K$60-Keys!$C$6)/Keys!$C$8,0))</f>
        <v>931.73764299019354</v>
      </c>
      <c r="L102">
        <f>K102*(1+$AC102/Keys!$C$7^ROUNDUP((L$60-Keys!$C$6)/Keys!$C$8,0))</f>
        <v>954.37375924326739</v>
      </c>
      <c r="M102">
        <f>L102*(1+$AC102/Keys!$C$7^ROUNDUP((M$60-Keys!$C$6)/Keys!$C$8,0))</f>
        <v>977.5598090134398</v>
      </c>
      <c r="N102">
        <f>M102*(1+$AC102/Keys!$C$7^ROUNDUP((N$60-Keys!$C$6)/Keys!$C$8,0))</f>
        <v>983.49714492758869</v>
      </c>
      <c r="O102">
        <f>N102*(1+$AC102/Keys!$C$7^ROUNDUP((O$60-Keys!$C$6)/Keys!$C$8,0))</f>
        <v>989.47054201920457</v>
      </c>
      <c r="P102">
        <f>O102*(1+$AC102/Keys!$C$7^ROUNDUP((P$60-Keys!$C$6)/Keys!$C$8,0))</f>
        <v>995.4802193105121</v>
      </c>
      <c r="Q102">
        <f>P102*(1+$AC102/Keys!$C$7^ROUNDUP((Q$60-Keys!$C$6)/Keys!$C$8,0))</f>
        <v>1001.5263971539957</v>
      </c>
      <c r="R102">
        <f>Q102*(1+$AC102/Keys!$C$7^ROUNDUP((R$60-Keys!$C$6)/Keys!$C$8,0))</f>
        <v>1007.6092972404791</v>
      </c>
      <c r="S102">
        <f>R102*(1+$AC102/Keys!$C$7^ROUNDUP((S$60-Keys!$C$6)/Keys!$C$8,0))</f>
        <v>1009.1392585821729</v>
      </c>
      <c r="T102">
        <f>S102*(1+$AC102/Keys!$C$7^ROUNDUP((T$60-Keys!$C$6)/Keys!$C$8,0))</f>
        <v>1010.6715430283811</v>
      </c>
      <c r="U102">
        <f>T102*(1+$AC102/Keys!$C$7^ROUNDUP((U$60-Keys!$C$6)/Keys!$C$8,0))</f>
        <v>1012.2061541065224</v>
      </c>
      <c r="V102">
        <f>U102*(1+$AC102/Keys!$C$7^ROUNDUP((V$60-Keys!$C$6)/Keys!$C$8,0))</f>
        <v>1013.7430953493719</v>
      </c>
      <c r="W102">
        <f>V102*(1+$AC102/Keys!$C$7^ROUNDUP((W$60-Keys!$C$6)/Keys!$C$8,0))</f>
        <v>1015.2823702950687</v>
      </c>
      <c r="X102">
        <f>W102*(1+$AC102/Keys!$C$7^ROUNDUP((X$60-Keys!$C$6)/Keys!$C$8,0))</f>
        <v>1015.6677733430827</v>
      </c>
      <c r="Y102">
        <f>X102*(1+$AC102/Keys!$C$7^ROUNDUP((Y$60-Keys!$C$6)/Keys!$C$8,0))</f>
        <v>1016.0533226907997</v>
      </c>
      <c r="Z102">
        <f>Y102*(1+$AC102/Keys!$C$7^ROUNDUP((Z$60-Keys!$C$6)/Keys!$C$8,0))</f>
        <v>1016.4390183937556</v>
      </c>
      <c r="AA102">
        <f>Z102*(1+$AC102/Keys!$C$7^ROUNDUP((AA$60-Keys!$C$6)/Keys!$C$8,0))</f>
        <v>1016.8248605075071</v>
      </c>
      <c r="AB102">
        <f>AA102*(1+$AC102/Keys!$C$7^ROUNDUP((AB$60-Keys!$C$6)/Keys!$C$8,0))</f>
        <v>1017.2108490876319</v>
      </c>
      <c r="AC102">
        <f>IFERROR((EPRI_PI2026!$I$45/EPRI_PI2026!$F$45)^(1/6)-1,0)</f>
        <v>9.7178069055698924E-2</v>
      </c>
    </row>
    <row r="103" spans="1:29" x14ac:dyDescent="0.45">
      <c r="A103" t="s">
        <v>109</v>
      </c>
      <c r="B103">
        <f>IFERROR(EPRI_PI2026!$F$46,0)</f>
        <v>2</v>
      </c>
      <c r="C103">
        <f t="shared" si="10"/>
        <v>2</v>
      </c>
      <c r="D103">
        <f t="shared" si="10"/>
        <v>2</v>
      </c>
      <c r="E103">
        <f t="shared" si="10"/>
        <v>2</v>
      </c>
      <c r="F103">
        <f t="shared" si="10"/>
        <v>2</v>
      </c>
      <c r="G103">
        <f t="shared" si="10"/>
        <v>2</v>
      </c>
      <c r="H103">
        <f t="shared" si="10"/>
        <v>2</v>
      </c>
      <c r="I103">
        <f>H103*(1+$AC103/Keys!$C$7^ROUNDUP((I$60-Keys!$C$6)/Keys!$C$8,0))</f>
        <v>2</v>
      </c>
      <c r="J103">
        <f>I103*(1+$AC103/Keys!$C$7^ROUNDUP((J$60-Keys!$C$6)/Keys!$C$8,0))</f>
        <v>2</v>
      </c>
      <c r="K103">
        <f>J103*(1+$AC103/Keys!$C$7^ROUNDUP((K$60-Keys!$C$6)/Keys!$C$8,0))</f>
        <v>2</v>
      </c>
      <c r="L103">
        <f>K103*(1+$AC103/Keys!$C$7^ROUNDUP((L$60-Keys!$C$6)/Keys!$C$8,0))</f>
        <v>2</v>
      </c>
      <c r="M103">
        <f>L103*(1+$AC103/Keys!$C$7^ROUNDUP((M$60-Keys!$C$6)/Keys!$C$8,0))</f>
        <v>2</v>
      </c>
      <c r="N103">
        <f>M103*(1+$AC103/Keys!$C$7^ROUNDUP((N$60-Keys!$C$6)/Keys!$C$8,0))</f>
        <v>2</v>
      </c>
      <c r="O103">
        <f>N103*(1+$AC103/Keys!$C$7^ROUNDUP((O$60-Keys!$C$6)/Keys!$C$8,0))</f>
        <v>2</v>
      </c>
      <c r="P103">
        <f>O103*(1+$AC103/Keys!$C$7^ROUNDUP((P$60-Keys!$C$6)/Keys!$C$8,0))</f>
        <v>2</v>
      </c>
      <c r="Q103">
        <f>P103*(1+$AC103/Keys!$C$7^ROUNDUP((Q$60-Keys!$C$6)/Keys!$C$8,0))</f>
        <v>2</v>
      </c>
      <c r="R103">
        <f>Q103*(1+$AC103/Keys!$C$7^ROUNDUP((R$60-Keys!$C$6)/Keys!$C$8,0))</f>
        <v>2</v>
      </c>
      <c r="S103">
        <f>R103*(1+$AC103/Keys!$C$7^ROUNDUP((S$60-Keys!$C$6)/Keys!$C$8,0))</f>
        <v>2</v>
      </c>
      <c r="T103">
        <f>S103*(1+$AC103/Keys!$C$7^ROUNDUP((T$60-Keys!$C$6)/Keys!$C$8,0))</f>
        <v>2</v>
      </c>
      <c r="U103">
        <f>T103*(1+$AC103/Keys!$C$7^ROUNDUP((U$60-Keys!$C$6)/Keys!$C$8,0))</f>
        <v>2</v>
      </c>
      <c r="V103">
        <f>U103*(1+$AC103/Keys!$C$7^ROUNDUP((V$60-Keys!$C$6)/Keys!$C$8,0))</f>
        <v>2</v>
      </c>
      <c r="W103">
        <f>V103*(1+$AC103/Keys!$C$7^ROUNDUP((W$60-Keys!$C$6)/Keys!$C$8,0))</f>
        <v>2</v>
      </c>
      <c r="X103">
        <f>W103*(1+$AC103/Keys!$C$7^ROUNDUP((X$60-Keys!$C$6)/Keys!$C$8,0))</f>
        <v>2</v>
      </c>
      <c r="Y103">
        <f>X103*(1+$AC103/Keys!$C$7^ROUNDUP((Y$60-Keys!$C$6)/Keys!$C$8,0))</f>
        <v>2</v>
      </c>
      <c r="Z103">
        <f>Y103*(1+$AC103/Keys!$C$7^ROUNDUP((Z$60-Keys!$C$6)/Keys!$C$8,0))</f>
        <v>2</v>
      </c>
      <c r="AA103">
        <f>Z103*(1+$AC103/Keys!$C$7^ROUNDUP((AA$60-Keys!$C$6)/Keys!$C$8,0))</f>
        <v>2</v>
      </c>
      <c r="AB103">
        <f>AA103*(1+$AC103/Keys!$C$7^ROUNDUP((AB$60-Keys!$C$6)/Keys!$C$8,0))</f>
        <v>2</v>
      </c>
      <c r="AC103">
        <f>IFERROR((EPRI_PI2026!$I$46/EPRI_PI2026!$F$46)^(1/6)-1,0)</f>
        <v>0</v>
      </c>
    </row>
    <row r="104" spans="1:29" x14ac:dyDescent="0.45">
      <c r="A104" t="s">
        <v>111</v>
      </c>
      <c r="B104">
        <f>IFERROR(EPRI_PI2026!$F$47,0)</f>
        <v>6367</v>
      </c>
      <c r="C104">
        <f t="shared" si="10"/>
        <v>7847.6170382965938</v>
      </c>
      <c r="D104">
        <f t="shared" si="10"/>
        <v>9672.5448688178112</v>
      </c>
      <c r="E104">
        <f t="shared" si="10"/>
        <v>11921.85140823354</v>
      </c>
      <c r="F104">
        <f t="shared" si="10"/>
        <v>14694.224004914995</v>
      </c>
      <c r="G104">
        <f t="shared" si="10"/>
        <v>18111.299303520926</v>
      </c>
      <c r="H104">
        <f t="shared" si="10"/>
        <v>22323.000000000007</v>
      </c>
      <c r="I104">
        <f>H104*(1+$AC104/Keys!$C$7^ROUNDUP((I$60-Keys!$C$6)/Keys!$C$8,0))</f>
        <v>23620.778158704848</v>
      </c>
      <c r="J104">
        <f>I104*(1+$AC104/Keys!$C$7^ROUNDUP((J$60-Keys!$C$6)/Keys!$C$8,0))</f>
        <v>24994.004426947446</v>
      </c>
      <c r="K104">
        <f>J104*(1+$AC104/Keys!$C$7^ROUNDUP((K$60-Keys!$C$6)/Keys!$C$8,0))</f>
        <v>26447.065083842328</v>
      </c>
      <c r="L104">
        <f>K104*(1+$AC104/Keys!$C$7^ROUNDUP((L$60-Keys!$C$6)/Keys!$C$8,0))</f>
        <v>27984.601410843894</v>
      </c>
      <c r="M104">
        <f>L104*(1+$AC104/Keys!$C$7^ROUNDUP((M$60-Keys!$C$6)/Keys!$C$8,0))</f>
        <v>29611.524516656456</v>
      </c>
      <c r="N104">
        <f>M104*(1+$AC104/Keys!$C$7^ROUNDUP((N$60-Keys!$C$6)/Keys!$C$8,0))</f>
        <v>30041.901143495026</v>
      </c>
      <c r="O104">
        <f>N104*(1+$AC104/Keys!$C$7^ROUNDUP((O$60-Keys!$C$6)/Keys!$C$8,0))</f>
        <v>30478.532903899068</v>
      </c>
      <c r="P104">
        <f>O104*(1+$AC104/Keys!$C$7^ROUNDUP((P$60-Keys!$C$6)/Keys!$C$8,0))</f>
        <v>30921.510710556406</v>
      </c>
      <c r="Q104">
        <f>P104*(1+$AC104/Keys!$C$7^ROUNDUP((Q$60-Keys!$C$6)/Keys!$C$8,0))</f>
        <v>31370.926797488246</v>
      </c>
      <c r="R104">
        <f>Q104*(1+$AC104/Keys!$C$7^ROUNDUP((R$60-Keys!$C$6)/Keys!$C$8,0))</f>
        <v>31826.874739253559</v>
      </c>
      <c r="S104">
        <f>R104*(1+$AC104/Keys!$C$7^ROUNDUP((S$60-Keys!$C$6)/Keys!$C$8,0))</f>
        <v>31942.518422048313</v>
      </c>
      <c r="T104">
        <f>S104*(1+$AC104/Keys!$C$7^ROUNDUP((T$60-Keys!$C$6)/Keys!$C$8,0))</f>
        <v>32058.582298829439</v>
      </c>
      <c r="U104">
        <f>T104*(1+$AC104/Keys!$C$7^ROUNDUP((U$60-Keys!$C$6)/Keys!$C$8,0))</f>
        <v>32175.067896381464</v>
      </c>
      <c r="V104">
        <f>U104*(1+$AC104/Keys!$C$7^ROUNDUP((V$60-Keys!$C$6)/Keys!$C$8,0))</f>
        <v>32291.97674703653</v>
      </c>
      <c r="W104">
        <f>V104*(1+$AC104/Keys!$C$7^ROUNDUP((W$60-Keys!$C$6)/Keys!$C$8,0))</f>
        <v>32409.310388694539</v>
      </c>
      <c r="X104">
        <f>W104*(1+$AC104/Keys!$C$7^ROUNDUP((X$60-Keys!$C$6)/Keys!$C$8,0))</f>
        <v>32438.750382731756</v>
      </c>
      <c r="Y104">
        <f>X104*(1+$AC104/Keys!$C$7^ROUNDUP((Y$60-Keys!$C$6)/Keys!$C$8,0))</f>
        <v>32468.217119493162</v>
      </c>
      <c r="Z104">
        <f>Y104*(1+$AC104/Keys!$C$7^ROUNDUP((Z$60-Keys!$C$6)/Keys!$C$8,0))</f>
        <v>32497.710623271334</v>
      </c>
      <c r="AA104">
        <f>Z104*(1+$AC104/Keys!$C$7^ROUNDUP((AA$60-Keys!$C$6)/Keys!$C$8,0))</f>
        <v>32527.230918380916</v>
      </c>
      <c r="AB104">
        <f>AA104*(1+$AC104/Keys!$C$7^ROUNDUP((AB$60-Keys!$C$6)/Keys!$C$8,0))</f>
        <v>32556.778029158635</v>
      </c>
      <c r="AC104">
        <f>IFERROR((EPRI_PI2026!$I$47/EPRI_PI2026!$F$47)^(1/6)-1,0)</f>
        <v>0.23254547483847876</v>
      </c>
    </row>
    <row r="105" spans="1:29" x14ac:dyDescent="0.45">
      <c r="A105" t="s">
        <v>113</v>
      </c>
      <c r="B105">
        <f>IFERROR(EPRI_PI2026!$F$48,0)</f>
        <v>1163</v>
      </c>
      <c r="C105">
        <f t="shared" si="10"/>
        <v>1184.4831246008923</v>
      </c>
      <c r="D105">
        <f t="shared" si="10"/>
        <v>1206.3630889632786</v>
      </c>
      <c r="E105">
        <f t="shared" si="10"/>
        <v>1228.6472235755878</v>
      </c>
      <c r="F105">
        <f t="shared" si="10"/>
        <v>1251.3429943362196</v>
      </c>
      <c r="G105">
        <f t="shared" si="10"/>
        <v>1274.4580050548598</v>
      </c>
      <c r="H105">
        <f t="shared" si="10"/>
        <v>1298</v>
      </c>
      <c r="I105">
        <f>H105*(1+$AC105/Keys!$C$7^ROUNDUP((I$60-Keys!$C$6)/Keys!$C$8,0))</f>
        <v>1303.9942166233789</v>
      </c>
      <c r="J105">
        <f>I105*(1+$AC105/Keys!$C$7^ROUNDUP((J$60-Keys!$C$6)/Keys!$C$8,0))</f>
        <v>1310.0161147821414</v>
      </c>
      <c r="K105">
        <f>J105*(1+$AC105/Keys!$C$7^ROUNDUP((K$60-Keys!$C$6)/Keys!$C$8,0))</f>
        <v>1316.06582231074</v>
      </c>
      <c r="L105">
        <f>K105*(1+$AC105/Keys!$C$7^ROUNDUP((L$60-Keys!$C$6)/Keys!$C$8,0))</f>
        <v>1322.1434676339725</v>
      </c>
      <c r="M105">
        <f>L105*(1+$AC105/Keys!$C$7^ROUNDUP((M$60-Keys!$C$6)/Keys!$C$8,0))</f>
        <v>1328.2491797697069</v>
      </c>
      <c r="N105">
        <f>M105*(1+$AC105/Keys!$C$7^ROUNDUP((N$60-Keys!$C$6)/Keys!$C$8,0))</f>
        <v>1329.7826569101853</v>
      </c>
      <c r="O105">
        <f>N105*(1+$AC105/Keys!$C$7^ROUNDUP((O$60-Keys!$C$6)/Keys!$C$8,0))</f>
        <v>1331.3179044655651</v>
      </c>
      <c r="P105">
        <f>O105*(1+$AC105/Keys!$C$7^ROUNDUP((P$60-Keys!$C$6)/Keys!$C$8,0))</f>
        <v>1332.854924479808</v>
      </c>
      <c r="Q105">
        <f>P105*(1+$AC105/Keys!$C$7^ROUNDUP((Q$60-Keys!$C$6)/Keys!$C$8,0))</f>
        <v>1334.3937189992357</v>
      </c>
      <c r="R105">
        <f>Q105*(1+$AC105/Keys!$C$7^ROUNDUP((R$60-Keys!$C$6)/Keys!$C$8,0))</f>
        <v>1335.9342900725326</v>
      </c>
      <c r="S105">
        <f>R105*(1+$AC105/Keys!$C$7^ROUNDUP((S$60-Keys!$C$6)/Keys!$C$8,0))</f>
        <v>1336.3198774920866</v>
      </c>
      <c r="T105">
        <f>S105*(1+$AC105/Keys!$C$7^ROUNDUP((T$60-Keys!$C$6)/Keys!$C$8,0))</f>
        <v>1336.7055762027865</v>
      </c>
      <c r="U105">
        <f>T105*(1+$AC105/Keys!$C$7^ROUNDUP((U$60-Keys!$C$6)/Keys!$C$8,0))</f>
        <v>1337.091386236754</v>
      </c>
      <c r="V105">
        <f>U105*(1+$AC105/Keys!$C$7^ROUNDUP((V$60-Keys!$C$6)/Keys!$C$8,0))</f>
        <v>1337.4773076261204</v>
      </c>
      <c r="W105">
        <f>V105*(1+$AC105/Keys!$C$7^ROUNDUP((W$60-Keys!$C$6)/Keys!$C$8,0))</f>
        <v>1337.8633404030256</v>
      </c>
      <c r="X105">
        <f>W105*(1+$AC105/Keys!$C$7^ROUNDUP((X$60-Keys!$C$6)/Keys!$C$8,0))</f>
        <v>1337.9598764521741</v>
      </c>
      <c r="Y105">
        <f>X105*(1+$AC105/Keys!$C$7^ROUNDUP((Y$60-Keys!$C$6)/Keys!$C$8,0))</f>
        <v>1338.0564194670631</v>
      </c>
      <c r="Z105">
        <f>Y105*(1+$AC105/Keys!$C$7^ROUNDUP((Z$60-Keys!$C$6)/Keys!$C$8,0))</f>
        <v>1338.1529694481951</v>
      </c>
      <c r="AA105">
        <f>Z105*(1+$AC105/Keys!$C$7^ROUNDUP((AA$60-Keys!$C$6)/Keys!$C$8,0))</f>
        <v>1338.249526396073</v>
      </c>
      <c r="AB105">
        <f>AA105*(1+$AC105/Keys!$C$7^ROUNDUP((AB$60-Keys!$C$6)/Keys!$C$8,0))</f>
        <v>1338.3460903111991</v>
      </c>
      <c r="AC105">
        <f>IFERROR((EPRI_PI2026!$I$48/EPRI_PI2026!$F$48)^(1/6)-1,0)</f>
        <v>1.8472162167577189E-2</v>
      </c>
    </row>
    <row r="106" spans="1:29" x14ac:dyDescent="0.45">
      <c r="A106" t="s">
        <v>115</v>
      </c>
      <c r="B106">
        <v>0</v>
      </c>
      <c r="C106">
        <f t="shared" si="10"/>
        <v>0</v>
      </c>
      <c r="D106">
        <f t="shared" si="10"/>
        <v>0</v>
      </c>
      <c r="E106">
        <f t="shared" si="10"/>
        <v>0</v>
      </c>
      <c r="F106">
        <f t="shared" si="10"/>
        <v>0</v>
      </c>
      <c r="G106">
        <f t="shared" si="10"/>
        <v>0</v>
      </c>
      <c r="H106">
        <f t="shared" si="10"/>
        <v>0</v>
      </c>
      <c r="I106">
        <f>H106*(1+$AC106/Keys!$C$7^ROUNDUP((I$60-Keys!$C$6)/Keys!$C$8,0))</f>
        <v>0</v>
      </c>
      <c r="J106">
        <f>I106*(1+$AC106/Keys!$C$7^ROUNDUP((J$60-Keys!$C$6)/Keys!$C$8,0))</f>
        <v>0</v>
      </c>
      <c r="K106">
        <f>J106*(1+$AC106/Keys!$C$7^ROUNDUP((K$60-Keys!$C$6)/Keys!$C$8,0))</f>
        <v>0</v>
      </c>
      <c r="L106">
        <f>K106*(1+$AC106/Keys!$C$7^ROUNDUP((L$60-Keys!$C$6)/Keys!$C$8,0))</f>
        <v>0</v>
      </c>
      <c r="M106">
        <f>L106*(1+$AC106/Keys!$C$7^ROUNDUP((M$60-Keys!$C$6)/Keys!$C$8,0))</f>
        <v>0</v>
      </c>
      <c r="N106">
        <f>M106*(1+$AC106/Keys!$C$7^ROUNDUP((N$60-Keys!$C$6)/Keys!$C$8,0))</f>
        <v>0</v>
      </c>
      <c r="O106">
        <f>N106*(1+$AC106/Keys!$C$7^ROUNDUP((O$60-Keys!$C$6)/Keys!$C$8,0))</f>
        <v>0</v>
      </c>
      <c r="P106">
        <f>O106*(1+$AC106/Keys!$C$7^ROUNDUP((P$60-Keys!$C$6)/Keys!$C$8,0))</f>
        <v>0</v>
      </c>
      <c r="Q106">
        <f>P106*(1+$AC106/Keys!$C$7^ROUNDUP((Q$60-Keys!$C$6)/Keys!$C$8,0))</f>
        <v>0</v>
      </c>
      <c r="R106">
        <f>Q106*(1+$AC106/Keys!$C$7^ROUNDUP((R$60-Keys!$C$6)/Keys!$C$8,0))</f>
        <v>0</v>
      </c>
      <c r="S106">
        <f>R106*(1+$AC106/Keys!$C$7^ROUNDUP((S$60-Keys!$C$6)/Keys!$C$8,0))</f>
        <v>0</v>
      </c>
      <c r="T106">
        <f>S106*(1+$AC106/Keys!$C$7^ROUNDUP((T$60-Keys!$C$6)/Keys!$C$8,0))</f>
        <v>0</v>
      </c>
      <c r="U106">
        <f>T106*(1+$AC106/Keys!$C$7^ROUNDUP((U$60-Keys!$C$6)/Keys!$C$8,0))</f>
        <v>0</v>
      </c>
      <c r="V106">
        <f>U106*(1+$AC106/Keys!$C$7^ROUNDUP((V$60-Keys!$C$6)/Keys!$C$8,0))</f>
        <v>0</v>
      </c>
      <c r="W106">
        <f>V106*(1+$AC106/Keys!$C$7^ROUNDUP((W$60-Keys!$C$6)/Keys!$C$8,0))</f>
        <v>0</v>
      </c>
      <c r="X106">
        <f>W106*(1+$AC106/Keys!$C$7^ROUNDUP((X$60-Keys!$C$6)/Keys!$C$8,0))</f>
        <v>0</v>
      </c>
      <c r="Y106">
        <f>X106*(1+$AC106/Keys!$C$7^ROUNDUP((Y$60-Keys!$C$6)/Keys!$C$8,0))</f>
        <v>0</v>
      </c>
      <c r="Z106">
        <f>Y106*(1+$AC106/Keys!$C$7^ROUNDUP((Z$60-Keys!$C$6)/Keys!$C$8,0))</f>
        <v>0</v>
      </c>
      <c r="AA106">
        <f>Z106*(1+$AC106/Keys!$C$7^ROUNDUP((AA$60-Keys!$C$6)/Keys!$C$8,0))</f>
        <v>0</v>
      </c>
      <c r="AB106">
        <f>AA106*(1+$AC106/Keys!$C$7^ROUNDUP((AB$60-Keys!$C$6)/Keys!$C$8,0))</f>
        <v>0</v>
      </c>
      <c r="AC106">
        <v>0</v>
      </c>
    </row>
    <row r="107" spans="1:29" x14ac:dyDescent="0.45">
      <c r="A107" t="s">
        <v>117</v>
      </c>
      <c r="B107">
        <f>IFERROR(EPRI_PI2026!$F$49,0)</f>
        <v>83</v>
      </c>
      <c r="C107">
        <f t="shared" si="10"/>
        <v>108.27269868303254</v>
      </c>
      <c r="D107">
        <f t="shared" si="10"/>
        <v>141.24069012176815</v>
      </c>
      <c r="E107">
        <f t="shared" si="10"/>
        <v>184.24711666672019</v>
      </c>
      <c r="F107">
        <f t="shared" si="10"/>
        <v>240.34858489244985</v>
      </c>
      <c r="G107">
        <f t="shared" si="10"/>
        <v>313.53240856570471</v>
      </c>
      <c r="H107">
        <f t="shared" si="10"/>
        <v>409</v>
      </c>
      <c r="I107">
        <f>H107*(1+$AC107/Keys!$C$7^ROUNDUP((I$60-Keys!$C$6)/Keys!$C$8,0))</f>
        <v>440.13413783542262</v>
      </c>
      <c r="J107">
        <f>I107*(1+$AC107/Keys!$C$7^ROUNDUP((J$60-Keys!$C$6)/Keys!$C$8,0))</f>
        <v>473.63828676804599</v>
      </c>
      <c r="K107">
        <f>J107*(1+$AC107/Keys!$C$7^ROUNDUP((K$60-Keys!$C$6)/Keys!$C$8,0))</f>
        <v>509.69285817237306</v>
      </c>
      <c r="L107">
        <f>K107*(1+$AC107/Keys!$C$7^ROUNDUP((L$60-Keys!$C$6)/Keys!$C$8,0))</f>
        <v>548.49199680334902</v>
      </c>
      <c r="M107">
        <f>L107*(1+$AC107/Keys!$C$7^ROUNDUP((M$60-Keys!$C$6)/Keys!$C$8,0))</f>
        <v>590.2446262168005</v>
      </c>
      <c r="N107">
        <f>M107*(1+$AC107/Keys!$C$7^ROUNDUP((N$60-Keys!$C$6)/Keys!$C$8,0))</f>
        <v>601.47736310509595</v>
      </c>
      <c r="O107">
        <f>N107*(1+$AC107/Keys!$C$7^ROUNDUP((O$60-Keys!$C$6)/Keys!$C$8,0))</f>
        <v>612.92386623944844</v>
      </c>
      <c r="P107">
        <f>O107*(1+$AC107/Keys!$C$7^ROUNDUP((P$60-Keys!$C$6)/Keys!$C$8,0))</f>
        <v>624.58820372974139</v>
      </c>
      <c r="Q107">
        <f>P107*(1+$AC107/Keys!$C$7^ROUNDUP((Q$60-Keys!$C$6)/Keys!$C$8,0))</f>
        <v>636.47452110461973</v>
      </c>
      <c r="R107">
        <f>Q107*(1+$AC107/Keys!$C$7^ROUNDUP((R$60-Keys!$C$6)/Keys!$C$8,0))</f>
        <v>648.58704278481889</v>
      </c>
      <c r="S107">
        <f>R107*(1+$AC107/Keys!$C$7^ROUNDUP((S$60-Keys!$C$6)/Keys!$C$8,0))</f>
        <v>651.67280048474731</v>
      </c>
      <c r="T107">
        <f>S107*(1+$AC107/Keys!$C$7^ROUNDUP((T$60-Keys!$C$6)/Keys!$C$8,0))</f>
        <v>654.77323917574483</v>
      </c>
      <c r="U107">
        <f>T107*(1+$AC107/Keys!$C$7^ROUNDUP((U$60-Keys!$C$6)/Keys!$C$8,0))</f>
        <v>657.88842870499968</v>
      </c>
      <c r="V107">
        <f>U107*(1+$AC107/Keys!$C$7^ROUNDUP((V$60-Keys!$C$6)/Keys!$C$8,0))</f>
        <v>661.01843925200922</v>
      </c>
      <c r="W107">
        <f>V107*(1+$AC107/Keys!$C$7^ROUNDUP((W$60-Keys!$C$6)/Keys!$C$8,0))</f>
        <v>664.1633413301613</v>
      </c>
      <c r="X107">
        <f>W107*(1+$AC107/Keys!$C$7^ROUNDUP((X$60-Keys!$C$6)/Keys!$C$8,0))</f>
        <v>664.95330744470164</v>
      </c>
      <c r="Y107">
        <f>X107*(1+$AC107/Keys!$C$7^ROUNDUP((Y$60-Keys!$C$6)/Keys!$C$8,0))</f>
        <v>665.7442131571139</v>
      </c>
      <c r="Z107">
        <f>Y107*(1+$AC107/Keys!$C$7^ROUNDUP((Z$60-Keys!$C$6)/Keys!$C$8,0))</f>
        <v>666.5360595849703</v>
      </c>
      <c r="AA107">
        <f>Z107*(1+$AC107/Keys!$C$7^ROUNDUP((AA$60-Keys!$C$6)/Keys!$C$8,0))</f>
        <v>667.32884784717226</v>
      </c>
      <c r="AB107">
        <f>AA107*(1+$AC107/Keys!$C$7^ROUNDUP((AB$60-Keys!$C$6)/Keys!$C$8,0))</f>
        <v>668.122579063952</v>
      </c>
      <c r="AC107">
        <f>IFERROR((EPRI_PI2026!$I$49/EPRI_PI2026!$F$49)^(1/6)-1,0)</f>
        <v>0.30449034557870536</v>
      </c>
    </row>
    <row r="108" spans="1:29" x14ac:dyDescent="0.45">
      <c r="A108" t="s">
        <v>119</v>
      </c>
      <c r="B108">
        <f>IFERROR(EPRI_PI2026!$F$50,0)</f>
        <v>341</v>
      </c>
      <c r="C108">
        <f t="shared" si="10"/>
        <v>390.83360464283106</v>
      </c>
      <c r="D108">
        <f t="shared" si="10"/>
        <v>447.94987248712255</v>
      </c>
      <c r="E108">
        <f t="shared" si="10"/>
        <v>513.41308904234211</v>
      </c>
      <c r="F108">
        <f t="shared" si="10"/>
        <v>588.4430740798515</v>
      </c>
      <c r="G108">
        <f t="shared" si="10"/>
        <v>674.43791134820185</v>
      </c>
      <c r="H108">
        <f t="shared" si="10"/>
        <v>772.99999999999966</v>
      </c>
      <c r="I108">
        <f>H108*(1+$AC108/Keys!$C$7^ROUNDUP((I$60-Keys!$C$6)/Keys!$C$8,0))</f>
        <v>801.24147829098831</v>
      </c>
      <c r="J108">
        <f>I108*(1+$AC108/Keys!$C$7^ROUNDUP((J$60-Keys!$C$6)/Keys!$C$8,0))</f>
        <v>830.51475618878214</v>
      </c>
      <c r="K108">
        <f>J108*(1+$AC108/Keys!$C$7^ROUNDUP((K$60-Keys!$C$6)/Keys!$C$8,0))</f>
        <v>860.85753038962457</v>
      </c>
      <c r="L108">
        <f>K108*(1+$AC108/Keys!$C$7^ROUNDUP((L$60-Keys!$C$6)/Keys!$C$8,0))</f>
        <v>892.3088748348157</v>
      </c>
      <c r="M108">
        <f>L108*(1+$AC108/Keys!$C$7^ROUNDUP((M$60-Keys!$C$6)/Keys!$C$8,0))</f>
        <v>924.90929102822315</v>
      </c>
      <c r="N108">
        <f>M108*(1+$AC108/Keys!$C$7^ROUNDUP((N$60-Keys!$C$6)/Keys!$C$8,0))</f>
        <v>933.3571583192022</v>
      </c>
      <c r="O108">
        <f>N108*(1+$AC108/Keys!$C$7^ROUNDUP((O$60-Keys!$C$6)/Keys!$C$8,0))</f>
        <v>941.8821861084682</v>
      </c>
      <c r="P108">
        <f>O108*(1+$AC108/Keys!$C$7^ROUNDUP((P$60-Keys!$C$6)/Keys!$C$8,0))</f>
        <v>950.48507915880816</v>
      </c>
      <c r="Q108">
        <f>P108*(1+$AC108/Keys!$C$7^ROUNDUP((Q$60-Keys!$C$6)/Keys!$C$8,0))</f>
        <v>959.16654867011869</v>
      </c>
      <c r="R108">
        <f>Q108*(1+$AC108/Keys!$C$7^ROUNDUP((R$60-Keys!$C$6)/Keys!$C$8,0))</f>
        <v>967.92731233820075</v>
      </c>
      <c r="S108">
        <f>R108*(1+$AC108/Keys!$C$7^ROUNDUP((S$60-Keys!$C$6)/Keys!$C$8,0))</f>
        <v>970.13750785717355</v>
      </c>
      <c r="T108">
        <f>S108*(1+$AC108/Keys!$C$7^ROUNDUP((T$60-Keys!$C$6)/Keys!$C$8,0))</f>
        <v>972.35275020576853</v>
      </c>
      <c r="U108">
        <f>T108*(1+$AC108/Keys!$C$7^ROUNDUP((U$60-Keys!$C$6)/Keys!$C$8,0))</f>
        <v>974.57305090807449</v>
      </c>
      <c r="V108">
        <f>U108*(1+$AC108/Keys!$C$7^ROUNDUP((V$60-Keys!$C$6)/Keys!$C$8,0))</f>
        <v>976.79842151449463</v>
      </c>
      <c r="W108">
        <f>V108*(1+$AC108/Keys!$C$7^ROUNDUP((W$60-Keys!$C$6)/Keys!$C$8,0))</f>
        <v>979.02887360180659</v>
      </c>
      <c r="X108">
        <f>W108*(1+$AC108/Keys!$C$7^ROUNDUP((X$60-Keys!$C$6)/Keys!$C$8,0))</f>
        <v>979.58775989466062</v>
      </c>
      <c r="Y108">
        <f>X108*(1+$AC108/Keys!$C$7^ROUNDUP((Y$60-Keys!$C$6)/Keys!$C$8,0))</f>
        <v>980.14696523212785</v>
      </c>
      <c r="Z108">
        <f>Y108*(1+$AC108/Keys!$C$7^ROUNDUP((Z$60-Keys!$C$6)/Keys!$C$8,0))</f>
        <v>980.70648979633745</v>
      </c>
      <c r="AA108">
        <f>Z108*(1+$AC108/Keys!$C$7^ROUNDUP((AA$60-Keys!$C$6)/Keys!$C$8,0))</f>
        <v>981.26633376952259</v>
      </c>
      <c r="AB108">
        <f>AA108*(1+$AC108/Keys!$C$7^ROUNDUP((AB$60-Keys!$C$6)/Keys!$C$8,0))</f>
        <v>981.82649733402025</v>
      </c>
      <c r="AC108">
        <f>IFERROR((EPRI_PI2026!$I$50/EPRI_PI2026!$F$50)^(1/6)-1,0)</f>
        <v>0.14613960305815565</v>
      </c>
    </row>
    <row r="109" spans="1:29" x14ac:dyDescent="0.45">
      <c r="A109" s="1" t="s">
        <v>252</v>
      </c>
      <c r="B109">
        <f t="shared" ref="B109:AB109" si="11">SUM(B61:B108)</f>
        <v>39766</v>
      </c>
      <c r="C109">
        <f t="shared" si="11"/>
        <v>45093.156372619276</v>
      </c>
      <c r="D109">
        <f t="shared" si="11"/>
        <v>51462.625547259733</v>
      </c>
      <c r="E109">
        <f t="shared" si="11"/>
        <v>59172.329721400791</v>
      </c>
      <c r="F109">
        <f t="shared" si="11"/>
        <v>68651.502396319571</v>
      </c>
      <c r="G109">
        <f t="shared" si="11"/>
        <v>80544.067660361994</v>
      </c>
      <c r="H109">
        <f t="shared" si="11"/>
        <v>95859</v>
      </c>
      <c r="I109">
        <f t="shared" si="11"/>
        <v>100956.78590224379</v>
      </c>
      <c r="J109">
        <f t="shared" si="11"/>
        <v>106549.0243423121</v>
      </c>
      <c r="K109">
        <f t="shared" si="11"/>
        <v>112714.96772345495</v>
      </c>
      <c r="L109">
        <f t="shared" si="11"/>
        <v>119550.92457084378</v>
      </c>
      <c r="M109">
        <f t="shared" si="11"/>
        <v>127174.53979902658</v>
      </c>
      <c r="N109">
        <f t="shared" si="11"/>
        <v>129313.46640882533</v>
      </c>
      <c r="O109">
        <f t="shared" si="11"/>
        <v>131521.78502920005</v>
      </c>
      <c r="P109">
        <f t="shared" si="11"/>
        <v>133802.94621686806</v>
      </c>
      <c r="Q109">
        <f t="shared" si="11"/>
        <v>136160.61176177912</v>
      </c>
      <c r="R109">
        <f t="shared" si="11"/>
        <v>138598.66901695184</v>
      </c>
      <c r="S109">
        <f t="shared" si="11"/>
        <v>139229.31332691133</v>
      </c>
      <c r="T109">
        <f t="shared" si="11"/>
        <v>139865.51423958864</v>
      </c>
      <c r="U109">
        <f t="shared" si="11"/>
        <v>140507.34457831181</v>
      </c>
      <c r="V109">
        <f t="shared" si="11"/>
        <v>141154.87831468528</v>
      </c>
      <c r="W109">
        <f t="shared" si="11"/>
        <v>141808.19058840896</v>
      </c>
      <c r="X109">
        <f t="shared" si="11"/>
        <v>141972.98237317079</v>
      </c>
      <c r="Y109">
        <f t="shared" si="11"/>
        <v>142138.1449330647</v>
      </c>
      <c r="Z109">
        <f t="shared" si="11"/>
        <v>142303.6794988178</v>
      </c>
      <c r="AA109">
        <f t="shared" si="11"/>
        <v>142469.58730604386</v>
      </c>
      <c r="AB109">
        <f t="shared" si="11"/>
        <v>142635.86959526461</v>
      </c>
    </row>
    <row r="111" spans="1:29" x14ac:dyDescent="0.45">
      <c r="A111" s="1" t="s">
        <v>253</v>
      </c>
    </row>
    <row r="112" spans="1:29" x14ac:dyDescent="0.45">
      <c r="A112" s="1" t="s">
        <v>248</v>
      </c>
      <c r="B112" s="1">
        <v>2024</v>
      </c>
      <c r="C112" s="1">
        <v>2025</v>
      </c>
      <c r="D112" s="1">
        <v>2026</v>
      </c>
      <c r="E112" s="1">
        <v>2027</v>
      </c>
      <c r="F112" s="1">
        <v>2028</v>
      </c>
      <c r="G112" s="1">
        <v>2029</v>
      </c>
      <c r="H112" s="1">
        <v>2030</v>
      </c>
      <c r="I112" s="1">
        <v>2031</v>
      </c>
      <c r="J112" s="1">
        <v>2032</v>
      </c>
      <c r="K112" s="1">
        <v>2033</v>
      </c>
      <c r="L112" s="1">
        <v>2034</v>
      </c>
      <c r="M112" s="1">
        <v>2035</v>
      </c>
      <c r="N112" s="1">
        <v>2036</v>
      </c>
      <c r="O112" s="1">
        <v>2037</v>
      </c>
      <c r="P112" s="1">
        <v>2038</v>
      </c>
      <c r="Q112" s="1">
        <v>2039</v>
      </c>
      <c r="R112" s="1">
        <v>2040</v>
      </c>
      <c r="S112" s="1">
        <v>2041</v>
      </c>
      <c r="T112" s="1">
        <v>2042</v>
      </c>
      <c r="U112" s="1">
        <v>2043</v>
      </c>
      <c r="V112" s="1">
        <v>2044</v>
      </c>
      <c r="W112" s="1">
        <v>2045</v>
      </c>
      <c r="X112" s="1">
        <v>2046</v>
      </c>
      <c r="Y112" s="1">
        <v>2047</v>
      </c>
      <c r="Z112" s="1">
        <v>2048</v>
      </c>
      <c r="AA112" s="1">
        <v>2049</v>
      </c>
      <c r="AB112" s="1">
        <v>2050</v>
      </c>
      <c r="AC112" s="1" t="s">
        <v>249</v>
      </c>
    </row>
    <row r="113" spans="1:29" x14ac:dyDescent="0.45">
      <c r="A113" t="s">
        <v>6</v>
      </c>
      <c r="B113">
        <f>IFERROR(EPRI_PI2026!$F$2,0)</f>
        <v>353</v>
      </c>
      <c r="C113">
        <f t="shared" ref="C113:H122" si="12">B113*(1+$AC113)</f>
        <v>418.5593896882848</v>
      </c>
      <c r="D113">
        <f t="shared" si="12"/>
        <v>496.29451188733555</v>
      </c>
      <c r="E113">
        <f t="shared" si="12"/>
        <v>588.46665156149675</v>
      </c>
      <c r="F113">
        <f t="shared" si="12"/>
        <v>697.75706099005276</v>
      </c>
      <c r="G113">
        <f t="shared" si="12"/>
        <v>827.34495637022042</v>
      </c>
      <c r="H113">
        <f t="shared" si="12"/>
        <v>981.00000000000023</v>
      </c>
      <c r="I113">
        <f>H113*(1+$AC113/Keys!$C$7^ROUNDUP((I$112-Keys!$C$6)/Keys!$C$8,0))</f>
        <v>1026.5479895780506</v>
      </c>
      <c r="J113">
        <f>I113*(1+$AC113/Keys!$C$7^ROUNDUP((J$112-Keys!$C$6)/Keys!$C$8,0))</f>
        <v>1074.2107797214449</v>
      </c>
      <c r="K113">
        <f>J113*(1+$AC113/Keys!$C$7^ROUNDUP((K$112-Keys!$C$6)/Keys!$C$8,0))</f>
        <v>1124.0865609644436</v>
      </c>
      <c r="L113">
        <f>K113*(1+$AC113/Keys!$C$7^ROUNDUP((L$112-Keys!$C$6)/Keys!$C$8,0))</f>
        <v>1176.2780828437863</v>
      </c>
      <c r="M113">
        <f>L113*(1+$AC113/Keys!$C$7^ROUNDUP((M$112-Keys!$C$6)/Keys!$C$8,0))</f>
        <v>1230.8928655739167</v>
      </c>
      <c r="N113">
        <f>M113*(1+$AC113/Keys!$C$7^ROUNDUP((N$112-Keys!$C$6)/Keys!$C$8,0))</f>
        <v>1245.1805045680189</v>
      </c>
      <c r="O113">
        <f>N113*(1+$AC113/Keys!$C$7^ROUNDUP((O$112-Keys!$C$6)/Keys!$C$8,0))</f>
        <v>1259.6339879127834</v>
      </c>
      <c r="P113">
        <f>O113*(1+$AC113/Keys!$C$7^ROUNDUP((P$112-Keys!$C$6)/Keys!$C$8,0))</f>
        <v>1274.2552406532548</v>
      </c>
      <c r="Q113">
        <f>P113*(1+$AC113/Keys!$C$7^ROUNDUP((Q$112-Keys!$C$6)/Keys!$C$8,0))</f>
        <v>1289.0462101795163</v>
      </c>
      <c r="R113">
        <f>Q113*(1+$AC113/Keys!$C$7^ROUNDUP((R$112-Keys!$C$6)/Keys!$C$8,0))</f>
        <v>1304.0088664860612</v>
      </c>
      <c r="S113">
        <f>R113*(1+$AC113/Keys!$C$7^ROUNDUP((S$112-Keys!$C$6)/Keys!$C$8,0))</f>
        <v>1307.7929504730891</v>
      </c>
      <c r="T113">
        <f>S113*(1+$AC113/Keys!$C$7^ROUNDUP((T$112-Keys!$C$6)/Keys!$C$8,0))</f>
        <v>1311.588015437309</v>
      </c>
      <c r="U113">
        <f>T113*(1+$AC113/Keys!$C$7^ROUNDUP((U$112-Keys!$C$6)/Keys!$C$8,0))</f>
        <v>1315.3940932442556</v>
      </c>
      <c r="V113">
        <f>U113*(1+$AC113/Keys!$C$7^ROUNDUP((V$112-Keys!$C$6)/Keys!$C$8,0))</f>
        <v>1319.2112158519337</v>
      </c>
      <c r="W113">
        <f>V113*(1+$AC113/Keys!$C$7^ROUNDUP((W$112-Keys!$C$6)/Keys!$C$8,0))</f>
        <v>1323.0394153110869</v>
      </c>
      <c r="X113">
        <f>W113*(1+$AC113/Keys!$C$7^ROUNDUP((X$112-Keys!$C$6)/Keys!$C$8,0))</f>
        <v>1323.9992424246818</v>
      </c>
      <c r="Y113">
        <f>X113*(1+$AC113/Keys!$C$7^ROUNDUP((Y$112-Keys!$C$6)/Keys!$C$8,0))</f>
        <v>1324.9597658652926</v>
      </c>
      <c r="Z113">
        <f>Y113*(1+$AC113/Keys!$C$7^ROUNDUP((Z$112-Keys!$C$6)/Keys!$C$8,0))</f>
        <v>1325.9209861380846</v>
      </c>
      <c r="AA113">
        <f>Z113*(1+$AC113/Keys!$C$7^ROUNDUP((AA$112-Keys!$C$6)/Keys!$C$8,0))</f>
        <v>1326.8829037485893</v>
      </c>
      <c r="AB113">
        <f>AA113*(1+$AC113/Keys!$C$7^ROUNDUP((AB$112-Keys!$C$6)/Keys!$C$8,0))</f>
        <v>1327.8455192027056</v>
      </c>
      <c r="AC113">
        <f>IFERROR((EPRI_PI2026!$J$2/EPRI_PI2026!$F$2)^(1/6)-1,0)</f>
        <v>0.18572065067502774</v>
      </c>
    </row>
    <row r="114" spans="1:29" x14ac:dyDescent="0.45">
      <c r="A114" t="s">
        <v>8</v>
      </c>
      <c r="B114">
        <f>IFERROR(EPRI_PI2026!$F$5,0)</f>
        <v>1864</v>
      </c>
      <c r="C114">
        <f t="shared" si="12"/>
        <v>2217.7886902263372</v>
      </c>
      <c r="D114">
        <f t="shared" si="12"/>
        <v>2638.7267567037834</v>
      </c>
      <c r="E114">
        <f t="shared" si="12"/>
        <v>3139.5592047292243</v>
      </c>
      <c r="F114">
        <f t="shared" si="12"/>
        <v>3735.450051794242</v>
      </c>
      <c r="G114">
        <f t="shared" si="12"/>
        <v>4444.4414580336133</v>
      </c>
      <c r="H114">
        <f t="shared" si="12"/>
        <v>5288</v>
      </c>
      <c r="I114">
        <f>H114*(1+$AC114/Keys!$C$7^ROUNDUP((I$112-Keys!$C$6)/Keys!$C$8,0))</f>
        <v>5538.9166569094514</v>
      </c>
      <c r="J114">
        <f>I114*(1+$AC114/Keys!$C$7^ROUNDUP((J$112-Keys!$C$6)/Keys!$C$8,0))</f>
        <v>5801.739359339821</v>
      </c>
      <c r="K114">
        <f>J114*(1+$AC114/Keys!$C$7^ROUNDUP((K$112-Keys!$C$6)/Keys!$C$8,0))</f>
        <v>6077.0330515307305</v>
      </c>
      <c r="L114">
        <f>K114*(1+$AC114/Keys!$C$7^ROUNDUP((L$112-Keys!$C$6)/Keys!$C$8,0))</f>
        <v>6365.3894844388869</v>
      </c>
      <c r="M114">
        <f>L114*(1+$AC114/Keys!$C$7^ROUNDUP((M$112-Keys!$C$6)/Keys!$C$8,0))</f>
        <v>6667.4284877221662</v>
      </c>
      <c r="N114">
        <f>M114*(1+$AC114/Keys!$C$7^ROUNDUP((N$112-Keys!$C$6)/Keys!$C$8,0))</f>
        <v>6746.5211913115236</v>
      </c>
      <c r="O114">
        <f>N114*(1+$AC114/Keys!$C$7^ROUNDUP((O$112-Keys!$C$6)/Keys!$C$8,0))</f>
        <v>6826.552136049263</v>
      </c>
      <c r="P114">
        <f>O114*(1+$AC114/Keys!$C$7^ROUNDUP((P$112-Keys!$C$6)/Keys!$C$8,0))</f>
        <v>6907.5324518678881</v>
      </c>
      <c r="Q114">
        <f>P114*(1+$AC114/Keys!$C$7^ROUNDUP((Q$112-Keys!$C$6)/Keys!$C$8,0))</f>
        <v>6989.4734007292836</v>
      </c>
      <c r="R114">
        <f>Q114*(1+$AC114/Keys!$C$7^ROUNDUP((R$112-Keys!$C$6)/Keys!$C$8,0))</f>
        <v>7072.3863781909195</v>
      </c>
      <c r="S114">
        <f>R114*(1+$AC114/Keys!$C$7^ROUNDUP((S$112-Keys!$C$6)/Keys!$C$8,0))</f>
        <v>7093.3605123908492</v>
      </c>
      <c r="T114">
        <f>S114*(1+$AC114/Keys!$C$7^ROUNDUP((T$112-Keys!$C$6)/Keys!$C$8,0))</f>
        <v>7114.3968482695209</v>
      </c>
      <c r="U114">
        <f>T114*(1+$AC114/Keys!$C$7^ROUNDUP((U$112-Keys!$C$6)/Keys!$C$8,0))</f>
        <v>7135.4955702945654</v>
      </c>
      <c r="V114">
        <f>U114*(1+$AC114/Keys!$C$7^ROUNDUP((V$112-Keys!$C$6)/Keys!$C$8,0))</f>
        <v>7156.6568634806772</v>
      </c>
      <c r="W114">
        <f>V114*(1+$AC114/Keys!$C$7^ROUNDUP((W$112-Keys!$C$6)/Keys!$C$8,0))</f>
        <v>7177.8809133912373</v>
      </c>
      <c r="X114">
        <f>W114*(1+$AC114/Keys!$C$7^ROUNDUP((X$112-Keys!$C$6)/Keys!$C$8,0))</f>
        <v>7183.2026615784134</v>
      </c>
      <c r="Y114">
        <f>X114*(1+$AC114/Keys!$C$7^ROUNDUP((Y$112-Keys!$C$6)/Keys!$C$8,0))</f>
        <v>7188.5283553595764</v>
      </c>
      <c r="Z114">
        <f>Y114*(1+$AC114/Keys!$C$7^ROUNDUP((Z$112-Keys!$C$6)/Keys!$C$8,0))</f>
        <v>7193.8579976600258</v>
      </c>
      <c r="AA114">
        <f>Z114*(1+$AC114/Keys!$C$7^ROUNDUP((AA$112-Keys!$C$6)/Keys!$C$8,0))</f>
        <v>7199.1915914072315</v>
      </c>
      <c r="AB114">
        <f>AA114*(1+$AC114/Keys!$C$7^ROUNDUP((AB$112-Keys!$C$6)/Keys!$C$8,0))</f>
        <v>7204.5291395308332</v>
      </c>
      <c r="AC114">
        <f>IFERROR((EPRI_PI2026!$J$5/EPRI_PI2026!$F$5)^(1/6)-1,0)</f>
        <v>0.18980079947764872</v>
      </c>
    </row>
    <row r="115" spans="1:29" x14ac:dyDescent="0.45">
      <c r="A115" t="s">
        <v>11</v>
      </c>
      <c r="B115">
        <f>IFERROR(EPRI_PI2026!$F$4,0)</f>
        <v>11</v>
      </c>
      <c r="C115">
        <f t="shared" si="12"/>
        <v>11.451136113158427</v>
      </c>
      <c r="D115">
        <f t="shared" si="12"/>
        <v>11.920774389280098</v>
      </c>
      <c r="E115">
        <f t="shared" si="12"/>
        <v>12.409673645990855</v>
      </c>
      <c r="F115">
        <f t="shared" si="12"/>
        <v>12.918623821828753</v>
      </c>
      <c r="G115">
        <f t="shared" si="12"/>
        <v>13.448447252586542</v>
      </c>
      <c r="H115">
        <f t="shared" si="12"/>
        <v>13.999999999999998</v>
      </c>
      <c r="I115">
        <f>H115*(1+$AC115/Keys!$C$7^ROUNDUP((I$112-Keys!$C$6)/Keys!$C$8,0))</f>
        <v>14.143543308732225</v>
      </c>
      <c r="J115">
        <f>I115*(1+$AC115/Keys!$C$7^ROUNDUP((J$112-Keys!$C$6)/Keys!$C$8,0))</f>
        <v>14.288558380427437</v>
      </c>
      <c r="K115">
        <f>J115*(1+$AC115/Keys!$C$7^ROUNDUP((K$112-Keys!$C$6)/Keys!$C$8,0))</f>
        <v>14.435060305208875</v>
      </c>
      <c r="L115">
        <f>K115*(1+$AC115/Keys!$C$7^ROUNDUP((L$112-Keys!$C$6)/Keys!$C$8,0))</f>
        <v>14.583064327920226</v>
      </c>
      <c r="M115">
        <f>L115*(1+$AC115/Keys!$C$7^ROUNDUP((M$112-Keys!$C$6)/Keys!$C$8,0))</f>
        <v>14.732585849711981</v>
      </c>
      <c r="N115">
        <f>M115*(1+$AC115/Keys!$C$7^ROUNDUP((N$112-Keys!$C$6)/Keys!$C$8,0))</f>
        <v>14.770349494695003</v>
      </c>
      <c r="O115">
        <f>N115*(1+$AC115/Keys!$C$7^ROUNDUP((O$112-Keys!$C$6)/Keys!$C$8,0))</f>
        <v>14.808209938223571</v>
      </c>
      <c r="P115">
        <f>O115*(1+$AC115/Keys!$C$7^ROUNDUP((P$112-Keys!$C$6)/Keys!$C$8,0))</f>
        <v>14.846167428418822</v>
      </c>
      <c r="Q115">
        <f>P115*(1+$AC115/Keys!$C$7^ROUNDUP((Q$112-Keys!$C$6)/Keys!$C$8,0))</f>
        <v>14.884222214037891</v>
      </c>
      <c r="R115">
        <f>Q115*(1+$AC115/Keys!$C$7^ROUNDUP((R$112-Keys!$C$6)/Keys!$C$8,0))</f>
        <v>14.922374544475547</v>
      </c>
      <c r="S115">
        <f>R115*(1+$AC115/Keys!$C$7^ROUNDUP((S$112-Keys!$C$6)/Keys!$C$8,0))</f>
        <v>14.931937075798116</v>
      </c>
      <c r="T115">
        <f>S115*(1+$AC115/Keys!$C$7^ROUNDUP((T$112-Keys!$C$6)/Keys!$C$8,0))</f>
        <v>14.941505734966158</v>
      </c>
      <c r="U115">
        <f>T115*(1+$AC115/Keys!$C$7^ROUNDUP((U$112-Keys!$C$6)/Keys!$C$8,0))</f>
        <v>14.951080525906509</v>
      </c>
      <c r="V115">
        <f>U115*(1+$AC115/Keys!$C$7^ROUNDUP((V$112-Keys!$C$6)/Keys!$C$8,0))</f>
        <v>14.96066145254852</v>
      </c>
      <c r="W115">
        <f>V115*(1+$AC115/Keys!$C$7^ROUNDUP((W$112-Keys!$C$6)/Keys!$C$8,0))</f>
        <v>14.970248518824063</v>
      </c>
      <c r="X115">
        <f>W115*(1+$AC115/Keys!$C$7^ROUNDUP((X$112-Keys!$C$6)/Keys!$C$8,0))</f>
        <v>14.972646821284927</v>
      </c>
      <c r="Y115">
        <f>X115*(1+$AC115/Keys!$C$7^ROUNDUP((Y$112-Keys!$C$6)/Keys!$C$8,0))</f>
        <v>14.975045507964845</v>
      </c>
      <c r="Z115">
        <f>Y115*(1+$AC115/Keys!$C$7^ROUNDUP((Z$112-Keys!$C$6)/Keys!$C$8,0))</f>
        <v>14.977444578925368</v>
      </c>
      <c r="AA115">
        <f>Z115*(1+$AC115/Keys!$C$7^ROUNDUP((AA$112-Keys!$C$6)/Keys!$C$8,0))</f>
        <v>14.97984403422806</v>
      </c>
      <c r="AB115">
        <f>AA115*(1+$AC115/Keys!$C$7^ROUNDUP((AB$112-Keys!$C$6)/Keys!$C$8,0))</f>
        <v>14.982243873934495</v>
      </c>
      <c r="AC115">
        <f>IFERROR((EPRI_PI2026!$J$4/EPRI_PI2026!$F$4)^(1/6)-1,0)</f>
        <v>4.1012373923493328E-2</v>
      </c>
    </row>
    <row r="116" spans="1:29" x14ac:dyDescent="0.45">
      <c r="A116" t="s">
        <v>13</v>
      </c>
      <c r="B116">
        <f>IFERROR(EPRI_PI2026!$F$6,0)</f>
        <v>1496</v>
      </c>
      <c r="C116">
        <f t="shared" si="12"/>
        <v>1700.322419034424</v>
      </c>
      <c r="D116">
        <f t="shared" si="12"/>
        <v>1932.5510218389541</v>
      </c>
      <c r="E116">
        <f t="shared" si="12"/>
        <v>2196.4972114710281</v>
      </c>
      <c r="F116">
        <f t="shared" si="12"/>
        <v>2496.4929492050701</v>
      </c>
      <c r="G116">
        <f t="shared" si="12"/>
        <v>2837.461851934992</v>
      </c>
      <c r="H116">
        <f t="shared" si="12"/>
        <v>3225.0000000000014</v>
      </c>
      <c r="I116">
        <f>H116*(1+$AC116/Keys!$C$7^ROUNDUP((I$112-Keys!$C$6)/Keys!$C$8,0))</f>
        <v>3335.116945418788</v>
      </c>
      <c r="J116">
        <f>I116*(1+$AC116/Keys!$C$7^ROUNDUP((J$112-Keys!$C$6)/Keys!$C$8,0))</f>
        <v>3448.9938107347416</v>
      </c>
      <c r="K116">
        <f>J116*(1+$AC116/Keys!$C$7^ROUNDUP((K$112-Keys!$C$6)/Keys!$C$8,0))</f>
        <v>3566.7589776204504</v>
      </c>
      <c r="L116">
        <f>K116*(1+$AC116/Keys!$C$7^ROUNDUP((L$112-Keys!$C$6)/Keys!$C$8,0))</f>
        <v>3688.5452113136594</v>
      </c>
      <c r="M116">
        <f>L116*(1+$AC116/Keys!$C$7^ROUNDUP((M$112-Keys!$C$6)/Keys!$C$8,0))</f>
        <v>3814.4898102931797</v>
      </c>
      <c r="N116">
        <f>M116*(1+$AC116/Keys!$C$7^ROUNDUP((N$112-Keys!$C$6)/Keys!$C$8,0))</f>
        <v>3847.0510479862469</v>
      </c>
      <c r="O116">
        <f>N116*(1+$AC116/Keys!$C$7^ROUNDUP((O$112-Keys!$C$6)/Keys!$C$8,0))</f>
        <v>3879.8902348292222</v>
      </c>
      <c r="P116">
        <f>O116*(1+$AC116/Keys!$C$7^ROUNDUP((P$112-Keys!$C$6)/Keys!$C$8,0))</f>
        <v>3913.0097434508939</v>
      </c>
      <c r="Q116">
        <f>P116*(1+$AC116/Keys!$C$7^ROUNDUP((Q$112-Keys!$C$6)/Keys!$C$8,0))</f>
        <v>3946.4119667332779</v>
      </c>
      <c r="R116">
        <f>Q116*(1+$AC116/Keys!$C$7^ROUNDUP((R$112-Keys!$C$6)/Keys!$C$8,0))</f>
        <v>3980.0993179845036</v>
      </c>
      <c r="S116">
        <f>R116*(1+$AC116/Keys!$C$7^ROUNDUP((S$112-Keys!$C$6)/Keys!$C$8,0))</f>
        <v>3988.5930462666711</v>
      </c>
      <c r="T116">
        <f>S116*(1+$AC116/Keys!$C$7^ROUNDUP((T$112-Keys!$C$6)/Keys!$C$8,0))</f>
        <v>3997.1049005839868</v>
      </c>
      <c r="U116">
        <f>T116*(1+$AC116/Keys!$C$7^ROUNDUP((U$112-Keys!$C$6)/Keys!$C$8,0))</f>
        <v>4005.6349196183041</v>
      </c>
      <c r="V116">
        <f>U116*(1+$AC116/Keys!$C$7^ROUNDUP((V$112-Keys!$C$6)/Keys!$C$8,0))</f>
        <v>4014.1831421340248</v>
      </c>
      <c r="W116">
        <f>V116*(1+$AC116/Keys!$C$7^ROUNDUP((W$112-Keys!$C$6)/Keys!$C$8,0))</f>
        <v>4022.7496069782765</v>
      </c>
      <c r="X116">
        <f>W116*(1+$AC116/Keys!$C$7^ROUNDUP((X$112-Keys!$C$6)/Keys!$C$8,0))</f>
        <v>4024.8957935039798</v>
      </c>
      <c r="Y116">
        <f>X116*(1+$AC116/Keys!$C$7^ROUNDUP((Y$112-Keys!$C$6)/Keys!$C$8,0))</f>
        <v>4027.0431250466622</v>
      </c>
      <c r="Z116">
        <f>Y116*(1+$AC116/Keys!$C$7^ROUNDUP((Z$112-Keys!$C$6)/Keys!$C$8,0))</f>
        <v>4029.1916022172045</v>
      </c>
      <c r="AA116">
        <f>Z116*(1+$AC116/Keys!$C$7^ROUNDUP((AA$112-Keys!$C$6)/Keys!$C$8,0))</f>
        <v>4031.3412256268134</v>
      </c>
      <c r="AB116">
        <f>AA116*(1+$AC116/Keys!$C$7^ROUNDUP((AB$112-Keys!$C$6)/Keys!$C$8,0))</f>
        <v>4033.4919958870214</v>
      </c>
      <c r="AC116">
        <f>IFERROR((EPRI_PI2026!$J$6/EPRI_PI2026!$F$6)^(1/6)-1,0)</f>
        <v>0.13657915710857216</v>
      </c>
    </row>
    <row r="117" spans="1:29" x14ac:dyDescent="0.45">
      <c r="A117" t="s">
        <v>16</v>
      </c>
      <c r="B117">
        <f>IFERROR(EPRI_PI2026!$F$7,0)</f>
        <v>241</v>
      </c>
      <c r="C117">
        <f t="shared" si="12"/>
        <v>272.44292417389124</v>
      </c>
      <c r="D117">
        <f t="shared" si="12"/>
        <v>307.98816154531391</v>
      </c>
      <c r="E117">
        <f t="shared" si="12"/>
        <v>348.17093503048181</v>
      </c>
      <c r="F117">
        <f t="shared" si="12"/>
        <v>393.59629731146208</v>
      </c>
      <c r="G117">
        <f t="shared" si="12"/>
        <v>444.94824142552289</v>
      </c>
      <c r="H117">
        <f t="shared" si="12"/>
        <v>502.99999999999994</v>
      </c>
      <c r="I117">
        <f>H117*(1+$AC117/Keys!$C$7^ROUNDUP((I$112-Keys!$C$6)/Keys!$C$8,0))</f>
        <v>519.40642205338929</v>
      </c>
      <c r="J117">
        <f>I117*(1+$AC117/Keys!$C$7^ROUNDUP((J$112-Keys!$C$6)/Keys!$C$8,0))</f>
        <v>536.34797469245245</v>
      </c>
      <c r="K117">
        <f>J117*(1+$AC117/Keys!$C$7^ROUNDUP((K$112-Keys!$C$6)/Keys!$C$8,0))</f>
        <v>553.84211234709448</v>
      </c>
      <c r="L117">
        <f>K117*(1+$AC117/Keys!$C$7^ROUNDUP((L$112-Keys!$C$6)/Keys!$C$8,0))</f>
        <v>571.90685876082625</v>
      </c>
      <c r="M117">
        <f>L117*(1+$AC117/Keys!$C$7^ROUNDUP((M$112-Keys!$C$6)/Keys!$C$8,0))</f>
        <v>590.56082556014678</v>
      </c>
      <c r="N117">
        <f>M117*(1+$AC117/Keys!$C$7^ROUNDUP((N$112-Keys!$C$6)/Keys!$C$8,0))</f>
        <v>595.37642702751145</v>
      </c>
      <c r="O117">
        <f>N117*(1+$AC117/Keys!$C$7^ROUNDUP((O$112-Keys!$C$6)/Keys!$C$8,0))</f>
        <v>600.23129628320339</v>
      </c>
      <c r="P117">
        <f>O117*(1+$AC117/Keys!$C$7^ROUNDUP((P$112-Keys!$C$6)/Keys!$C$8,0))</f>
        <v>605.12575352797239</v>
      </c>
      <c r="Q117">
        <f>P117*(1+$AC117/Keys!$C$7^ROUNDUP((Q$112-Keys!$C$6)/Keys!$C$8,0))</f>
        <v>610.06012157357634</v>
      </c>
      <c r="R117">
        <f>Q117*(1+$AC117/Keys!$C$7^ROUNDUP((R$112-Keys!$C$6)/Keys!$C$8,0))</f>
        <v>615.03472586407236</v>
      </c>
      <c r="S117">
        <f>R117*(1+$AC117/Keys!$C$7^ROUNDUP((S$112-Keys!$C$6)/Keys!$C$8,0))</f>
        <v>616.28851802237466</v>
      </c>
      <c r="T117">
        <f>S117*(1+$AC117/Keys!$C$7^ROUNDUP((T$112-Keys!$C$6)/Keys!$C$8,0))</f>
        <v>617.54486612542303</v>
      </c>
      <c r="U117">
        <f>T117*(1+$AC117/Keys!$C$7^ROUNDUP((U$112-Keys!$C$6)/Keys!$C$8,0))</f>
        <v>618.80377538369305</v>
      </c>
      <c r="V117">
        <f>U117*(1+$AC117/Keys!$C$7^ROUNDUP((V$112-Keys!$C$6)/Keys!$C$8,0))</f>
        <v>620.06525101828242</v>
      </c>
      <c r="W117">
        <f>V117*(1+$AC117/Keys!$C$7^ROUNDUP((W$112-Keys!$C$6)/Keys!$C$8,0))</f>
        <v>621.32929826093232</v>
      </c>
      <c r="X117">
        <f>W117*(1+$AC117/Keys!$C$7^ROUNDUP((X$112-Keys!$C$6)/Keys!$C$8,0))</f>
        <v>621.6459542842116</v>
      </c>
      <c r="Y117">
        <f>X117*(1+$AC117/Keys!$C$7^ROUNDUP((Y$112-Keys!$C$6)/Keys!$C$8,0))</f>
        <v>621.96277168896336</v>
      </c>
      <c r="Z117">
        <f>Y117*(1+$AC117/Keys!$C$7^ROUNDUP((Z$112-Keys!$C$6)/Keys!$C$8,0))</f>
        <v>622.27975055743457</v>
      </c>
      <c r="AA117">
        <f>Z117*(1+$AC117/Keys!$C$7^ROUNDUP((AA$112-Keys!$C$6)/Keys!$C$8,0))</f>
        <v>622.59689097191404</v>
      </c>
      <c r="AB117">
        <f>AA117*(1+$AC117/Keys!$C$7^ROUNDUP((AB$112-Keys!$C$6)/Keys!$C$8,0))</f>
        <v>622.91419301473252</v>
      </c>
      <c r="AC117">
        <f>IFERROR((EPRI_PI2026!$J$7/EPRI_PI2026!$F$7)^(1/6)-1,0)</f>
        <v>0.13046856503689308</v>
      </c>
    </row>
    <row r="118" spans="1:29" x14ac:dyDescent="0.45">
      <c r="A118" t="s">
        <v>18</v>
      </c>
      <c r="B118">
        <f>IFERROR(EPRI_PI2026!$F$8,0)</f>
        <v>29</v>
      </c>
      <c r="C118">
        <f t="shared" si="12"/>
        <v>44.02537431031643</v>
      </c>
      <c r="D118">
        <f t="shared" si="12"/>
        <v>66.835640798740343</v>
      </c>
      <c r="E118">
        <f t="shared" si="12"/>
        <v>101.4642794287724</v>
      </c>
      <c r="F118">
        <f t="shared" si="12"/>
        <v>154.03458210269807</v>
      </c>
      <c r="G118">
        <f t="shared" si="12"/>
        <v>233.84241840705002</v>
      </c>
      <c r="H118">
        <f t="shared" si="12"/>
        <v>355.00000000000017</v>
      </c>
      <c r="I118">
        <f>H118*(1+$AC118/Keys!$C$7^ROUNDUP((I$112-Keys!$C$6)/Keys!$C$8,0))</f>
        <v>400.98282655312374</v>
      </c>
      <c r="J118">
        <f>I118*(1+$AC118/Keys!$C$7^ROUNDUP((J$112-Keys!$C$6)/Keys!$C$8,0))</f>
        <v>452.92176673389423</v>
      </c>
      <c r="K118">
        <f>J118*(1+$AC118/Keys!$C$7^ROUNDUP((K$112-Keys!$C$6)/Keys!$C$8,0))</f>
        <v>511.58831051377859</v>
      </c>
      <c r="L118">
        <f>K118*(1+$AC118/Keys!$C$7^ROUNDUP((L$112-Keys!$C$6)/Keys!$C$8,0))</f>
        <v>577.8538782573296</v>
      </c>
      <c r="M118">
        <f>L118*(1+$AC118/Keys!$C$7^ROUNDUP((M$112-Keys!$C$6)/Keys!$C$8,0))</f>
        <v>652.70276461495371</v>
      </c>
      <c r="N118">
        <f>M118*(1+$AC118/Keys!$C$7^ROUNDUP((N$112-Keys!$C$6)/Keys!$C$8,0))</f>
        <v>673.83876321779439</v>
      </c>
      <c r="O118">
        <f>N118*(1+$AC118/Keys!$C$7^ROUNDUP((O$112-Keys!$C$6)/Keys!$C$8,0))</f>
        <v>695.65919348104455</v>
      </c>
      <c r="P118">
        <f>O118*(1+$AC118/Keys!$C$7^ROUNDUP((P$112-Keys!$C$6)/Keys!$C$8,0))</f>
        <v>718.18621885704795</v>
      </c>
      <c r="Q118">
        <f>P118*(1+$AC118/Keys!$C$7^ROUNDUP((Q$112-Keys!$C$6)/Keys!$C$8,0))</f>
        <v>741.44272050109532</v>
      </c>
      <c r="R118">
        <f>Q118*(1+$AC118/Keys!$C$7^ROUNDUP((R$112-Keys!$C$6)/Keys!$C$8,0))</f>
        <v>765.45232051227697</v>
      </c>
      <c r="S118">
        <f>R118*(1+$AC118/Keys!$C$7^ROUNDUP((S$112-Keys!$C$6)/Keys!$C$8,0))</f>
        <v>771.64909186593923</v>
      </c>
      <c r="T118">
        <f>S118*(1+$AC118/Keys!$C$7^ROUNDUP((T$112-Keys!$C$6)/Keys!$C$8,0))</f>
        <v>777.89602960381717</v>
      </c>
      <c r="U118">
        <f>T118*(1+$AC118/Keys!$C$7^ROUNDUP((U$112-Keys!$C$6)/Keys!$C$8,0))</f>
        <v>784.19353985128828</v>
      </c>
      <c r="V118">
        <f>U118*(1+$AC118/Keys!$C$7^ROUNDUP((V$112-Keys!$C$6)/Keys!$C$8,0))</f>
        <v>790.54203202154565</v>
      </c>
      <c r="W118">
        <f>V118*(1+$AC118/Keys!$C$7^ROUNDUP((W$112-Keys!$C$6)/Keys!$C$8,0))</f>
        <v>796.9419188422147</v>
      </c>
      <c r="X118">
        <f>W118*(1+$AC118/Keys!$C$7^ROUNDUP((X$112-Keys!$C$6)/Keys!$C$8,0))</f>
        <v>798.55484322720747</v>
      </c>
      <c r="Y118">
        <f>X118*(1+$AC118/Keys!$C$7^ROUNDUP((Y$112-Keys!$C$6)/Keys!$C$8,0))</f>
        <v>800.17103199698181</v>
      </c>
      <c r="Z118">
        <f>Y118*(1+$AC118/Keys!$C$7^ROUNDUP((Z$112-Keys!$C$6)/Keys!$C$8,0))</f>
        <v>801.79049175830005</v>
      </c>
      <c r="AA118">
        <f>Z118*(1+$AC118/Keys!$C$7^ROUNDUP((AA$112-Keys!$C$6)/Keys!$C$8,0))</f>
        <v>803.41322913129591</v>
      </c>
      <c r="AB118">
        <f>AA118*(1+$AC118/Keys!$C$7^ROUNDUP((AB$112-Keys!$C$6)/Keys!$C$8,0))</f>
        <v>805.03925074950143</v>
      </c>
      <c r="AC118">
        <f>IFERROR((EPRI_PI2026!$J$8/EPRI_PI2026!$F$8)^(1/6)-1,0)</f>
        <v>0.51811635552815272</v>
      </c>
    </row>
    <row r="119" spans="1:29" x14ac:dyDescent="0.45">
      <c r="A119" t="s">
        <v>20</v>
      </c>
      <c r="B119">
        <f>IFERROR(EPRI_PI2026!$F$9,0)</f>
        <v>14</v>
      </c>
      <c r="C119">
        <f t="shared" si="12"/>
        <v>14.460440293817737</v>
      </c>
      <c r="D119">
        <f t="shared" si="12"/>
        <v>14.936023820790542</v>
      </c>
      <c r="E119">
        <f t="shared" si="12"/>
        <v>15.427248620541507</v>
      </c>
      <c r="F119">
        <f t="shared" si="12"/>
        <v>15.934629112515893</v>
      </c>
      <c r="G119">
        <f t="shared" si="12"/>
        <v>16.458696634690426</v>
      </c>
      <c r="H119">
        <f t="shared" si="12"/>
        <v>16.999999999999986</v>
      </c>
      <c r="I119">
        <f>H119*(1+$AC119/Keys!$C$7^ROUNDUP((I$112-Keys!$C$6)/Keys!$C$8,0))</f>
        <v>17.139776517766084</v>
      </c>
      <c r="J119">
        <f>I119*(1+$AC119/Keys!$C$7^ROUNDUP((J$112-Keys!$C$6)/Keys!$C$8,0))</f>
        <v>17.280702298762701</v>
      </c>
      <c r="K119">
        <f>J119*(1+$AC119/Keys!$C$7^ROUNDUP((K$112-Keys!$C$6)/Keys!$C$8,0))</f>
        <v>17.422786792402331</v>
      </c>
      <c r="L119">
        <f>K119*(1+$AC119/Keys!$C$7^ROUNDUP((L$112-Keys!$C$6)/Keys!$C$8,0))</f>
        <v>17.566039525791929</v>
      </c>
      <c r="M119">
        <f>L119*(1+$AC119/Keys!$C$7^ROUNDUP((M$112-Keys!$C$6)/Keys!$C$8,0))</f>
        <v>17.710470104371744</v>
      </c>
      <c r="N119">
        <f>M119*(1+$AC119/Keys!$C$7^ROUNDUP((N$112-Keys!$C$6)/Keys!$C$8,0))</f>
        <v>17.746874631418653</v>
      </c>
      <c r="O119">
        <f>N119*(1+$AC119/Keys!$C$7^ROUNDUP((O$112-Keys!$C$6)/Keys!$C$8,0))</f>
        <v>17.783353989318819</v>
      </c>
      <c r="P119">
        <f>O119*(1+$AC119/Keys!$C$7^ROUNDUP((P$112-Keys!$C$6)/Keys!$C$8,0))</f>
        <v>17.819908331889831</v>
      </c>
      <c r="Q119">
        <f>P119*(1+$AC119/Keys!$C$7^ROUNDUP((Q$112-Keys!$C$6)/Keys!$C$8,0))</f>
        <v>17.856537813265458</v>
      </c>
      <c r="R119">
        <f>Q119*(1+$AC119/Keys!$C$7^ROUNDUP((R$112-Keys!$C$6)/Keys!$C$8,0))</f>
        <v>17.893242587896296</v>
      </c>
      <c r="S119">
        <f>R119*(1+$AC119/Keys!$C$7^ROUNDUP((S$112-Keys!$C$6)/Keys!$C$8,0))</f>
        <v>17.902437643559825</v>
      </c>
      <c r="T119">
        <f>S119*(1+$AC119/Keys!$C$7^ROUNDUP((T$112-Keys!$C$6)/Keys!$C$8,0))</f>
        <v>17.911637424417695</v>
      </c>
      <c r="U119">
        <f>T119*(1+$AC119/Keys!$C$7^ROUNDUP((U$112-Keys!$C$6)/Keys!$C$8,0))</f>
        <v>17.920841932898114</v>
      </c>
      <c r="V119">
        <f>U119*(1+$AC119/Keys!$C$7^ROUNDUP((V$112-Keys!$C$6)/Keys!$C$8,0))</f>
        <v>17.930051171430527</v>
      </c>
      <c r="W119">
        <f>V119*(1+$AC119/Keys!$C$7^ROUNDUP((W$112-Keys!$C$6)/Keys!$C$8,0))</f>
        <v>17.939265142445638</v>
      </c>
      <c r="X119">
        <f>W119*(1+$AC119/Keys!$C$7^ROUNDUP((X$112-Keys!$C$6)/Keys!$C$8,0))</f>
        <v>17.941569818928077</v>
      </c>
      <c r="Y119">
        <f>X119*(1+$AC119/Keys!$C$7^ROUNDUP((Y$112-Keys!$C$6)/Keys!$C$8,0))</f>
        <v>17.943874791494753</v>
      </c>
      <c r="Z119">
        <f>Y119*(1+$AC119/Keys!$C$7^ROUNDUP((Z$112-Keys!$C$6)/Keys!$C$8,0))</f>
        <v>17.94618006018371</v>
      </c>
      <c r="AA119">
        <f>Z119*(1+$AC119/Keys!$C$7^ROUNDUP((AA$112-Keys!$C$6)/Keys!$C$8,0))</f>
        <v>17.948485625032987</v>
      </c>
      <c r="AB119">
        <f>AA119*(1+$AC119/Keys!$C$7^ROUNDUP((AB$112-Keys!$C$6)/Keys!$C$8,0))</f>
        <v>17.950791486080636</v>
      </c>
      <c r="AC119">
        <f>IFERROR((EPRI_PI2026!$J$9/EPRI_PI2026!$F$9)^(1/6)-1,0)</f>
        <v>3.2888592415552642E-2</v>
      </c>
    </row>
    <row r="120" spans="1:29" x14ac:dyDescent="0.45">
      <c r="A120" t="s">
        <v>23</v>
      </c>
      <c r="B120">
        <f>IFERROR(EPRI_PI2026!$F$10,0)</f>
        <v>188</v>
      </c>
      <c r="C120">
        <f t="shared" si="12"/>
        <v>230.76327997115445</v>
      </c>
      <c r="D120">
        <f t="shared" si="12"/>
        <v>283.2536775693905</v>
      </c>
      <c r="E120">
        <f t="shared" si="12"/>
        <v>347.68376436066154</v>
      </c>
      <c r="F120">
        <f t="shared" si="12"/>
        <v>426.76939285417143</v>
      </c>
      <c r="G120">
        <f t="shared" si="12"/>
        <v>523.84417492727005</v>
      </c>
      <c r="H120">
        <f t="shared" si="12"/>
        <v>643.00000000000011</v>
      </c>
      <c r="I120">
        <f>H120*(1+$AC120/Keys!$C$7^ROUNDUP((I$112-Keys!$C$6)/Keys!$C$8,0))</f>
        <v>679.56487901788887</v>
      </c>
      <c r="J120">
        <f>I120*(1+$AC120/Keys!$C$7^ROUNDUP((J$112-Keys!$C$6)/Keys!$C$8,0))</f>
        <v>718.20905877853477</v>
      </c>
      <c r="K120">
        <f>J120*(1+$AC120/Keys!$C$7^ROUNDUP((K$112-Keys!$C$6)/Keys!$C$8,0))</f>
        <v>759.05078093061707</v>
      </c>
      <c r="L120">
        <f>K120*(1+$AC120/Keys!$C$7^ROUNDUP((L$112-Keys!$C$6)/Keys!$C$8,0))</f>
        <v>802.21501105995151</v>
      </c>
      <c r="M120">
        <f>L120*(1+$AC120/Keys!$C$7^ROUNDUP((M$112-Keys!$C$6)/Keys!$C$8,0))</f>
        <v>847.83382105332851</v>
      </c>
      <c r="N120">
        <f>M120*(1+$AC120/Keys!$C$7^ROUNDUP((N$112-Keys!$C$6)/Keys!$C$8,0))</f>
        <v>859.88706409146573</v>
      </c>
      <c r="O120">
        <f>N120*(1+$AC120/Keys!$C$7^ROUNDUP((O$112-Keys!$C$6)/Keys!$C$8,0))</f>
        <v>872.11166225147804</v>
      </c>
      <c r="P120">
        <f>O120*(1+$AC120/Keys!$C$7^ROUNDUP((P$112-Keys!$C$6)/Keys!$C$8,0))</f>
        <v>884.51005160618831</v>
      </c>
      <c r="Q120">
        <f>P120*(1+$AC120/Keys!$C$7^ROUNDUP((Q$112-Keys!$C$6)/Keys!$C$8,0))</f>
        <v>897.08470286088766</v>
      </c>
      <c r="R120">
        <f>Q120*(1+$AC120/Keys!$C$7^ROUNDUP((R$112-Keys!$C$6)/Keys!$C$8,0))</f>
        <v>909.83812184568808</v>
      </c>
      <c r="S120">
        <f>R120*(1+$AC120/Keys!$C$7^ROUNDUP((S$112-Keys!$C$6)/Keys!$C$8,0))</f>
        <v>913.07180388798497</v>
      </c>
      <c r="T120">
        <f>S120*(1+$AC120/Keys!$C$7^ROUNDUP((T$112-Keys!$C$6)/Keys!$C$8,0))</f>
        <v>916.31697885336303</v>
      </c>
      <c r="U120">
        <f>T120*(1+$AC120/Keys!$C$7^ROUNDUP((U$112-Keys!$C$6)/Keys!$C$8,0))</f>
        <v>919.57368758915334</v>
      </c>
      <c r="V120">
        <f>U120*(1+$AC120/Keys!$C$7^ROUNDUP((V$112-Keys!$C$6)/Keys!$C$8,0))</f>
        <v>922.84197108786361</v>
      </c>
      <c r="W120">
        <f>V120*(1+$AC120/Keys!$C$7^ROUNDUP((W$112-Keys!$C$6)/Keys!$C$8,0))</f>
        <v>926.1218704876942</v>
      </c>
      <c r="X120">
        <f>W120*(1+$AC120/Keys!$C$7^ROUNDUP((X$112-Keys!$C$6)/Keys!$C$8,0))</f>
        <v>926.94475963403477</v>
      </c>
      <c r="Y120">
        <f>X120*(1+$AC120/Keys!$C$7^ROUNDUP((Y$112-Keys!$C$6)/Keys!$C$8,0))</f>
        <v>927.76837994391735</v>
      </c>
      <c r="Z120">
        <f>Y120*(1+$AC120/Keys!$C$7^ROUNDUP((Z$112-Keys!$C$6)/Keys!$C$8,0))</f>
        <v>928.59273206700425</v>
      </c>
      <c r="AA120">
        <f>Z120*(1+$AC120/Keys!$C$7^ROUNDUP((AA$112-Keys!$C$6)/Keys!$C$8,0))</f>
        <v>929.41781665353517</v>
      </c>
      <c r="AB120">
        <f>AA120*(1+$AC120/Keys!$C$7^ROUNDUP((AB$112-Keys!$C$6)/Keys!$C$8,0))</f>
        <v>930.24363435432758</v>
      </c>
      <c r="AC120">
        <f>IFERROR((EPRI_PI2026!$J$10/EPRI_PI2026!$F$10)^(1/6)-1,0)</f>
        <v>0.22746425516571511</v>
      </c>
    </row>
    <row r="121" spans="1:29" x14ac:dyDescent="0.45">
      <c r="A121" t="s">
        <v>27</v>
      </c>
      <c r="B121">
        <f>IFERROR(EPRI_PI2026!$F$11,0)</f>
        <v>1774</v>
      </c>
      <c r="C121">
        <f t="shared" si="12"/>
        <v>2254.1146962895155</v>
      </c>
      <c r="D121">
        <f t="shared" si="12"/>
        <v>2864.1674543564682</v>
      </c>
      <c r="E121">
        <f t="shared" si="12"/>
        <v>3639.324662626294</v>
      </c>
      <c r="F121">
        <f t="shared" si="12"/>
        <v>4624.2701277310107</v>
      </c>
      <c r="G121">
        <f t="shared" si="12"/>
        <v>5875.780865011875</v>
      </c>
      <c r="H121">
        <f t="shared" si="12"/>
        <v>7465.9999999999945</v>
      </c>
      <c r="I121">
        <f>H121*(1+$AC121/Keys!$C$7^ROUNDUP((I$112-Keys!$C$6)/Keys!$C$8,0))</f>
        <v>7971.1488616822835</v>
      </c>
      <c r="J121">
        <f>I121*(1+$AC121/Keys!$C$7^ROUNDUP((J$112-Keys!$C$6)/Keys!$C$8,0))</f>
        <v>8510.4760480978857</v>
      </c>
      <c r="K121">
        <f>J121*(1+$AC121/Keys!$C$7^ROUNDUP((K$112-Keys!$C$6)/Keys!$C$8,0))</f>
        <v>9086.2940615014522</v>
      </c>
      <c r="L121">
        <f>K121*(1+$AC121/Keys!$C$7^ROUNDUP((L$112-Keys!$C$6)/Keys!$C$8,0))</f>
        <v>9701.0718678338926</v>
      </c>
      <c r="M121">
        <f>L121*(1+$AC121/Keys!$C$7^ROUNDUP((M$112-Keys!$C$6)/Keys!$C$8,0))</f>
        <v>10357.445483040747</v>
      </c>
      <c r="N121">
        <f>M121*(1+$AC121/Keys!$C$7^ROUNDUP((N$112-Keys!$C$6)/Keys!$C$8,0))</f>
        <v>10532.641431195529</v>
      </c>
      <c r="O121">
        <f>N121*(1+$AC121/Keys!$C$7^ROUNDUP((O$112-Keys!$C$6)/Keys!$C$8,0))</f>
        <v>10710.800814716697</v>
      </c>
      <c r="P121">
        <f>O121*(1+$AC121/Keys!$C$7^ROUNDUP((P$112-Keys!$C$6)/Keys!$C$8,0))</f>
        <v>10891.973760044177</v>
      </c>
      <c r="Q121">
        <f>P121*(1+$AC121/Keys!$C$7^ROUNDUP((Q$112-Keys!$C$6)/Keys!$C$8,0))</f>
        <v>11076.211241505458</v>
      </c>
      <c r="R121">
        <f>Q121*(1+$AC121/Keys!$C$7^ROUNDUP((R$112-Keys!$C$6)/Keys!$C$8,0))</f>
        <v>11263.565095657583</v>
      </c>
      <c r="S121">
        <f>R121*(1+$AC121/Keys!$C$7^ROUNDUP((S$112-Keys!$C$6)/Keys!$C$8,0))</f>
        <v>11311.195830711124</v>
      </c>
      <c r="T121">
        <f>S121*(1+$AC121/Keys!$C$7^ROUNDUP((T$112-Keys!$C$6)/Keys!$C$8,0))</f>
        <v>11359.027983957081</v>
      </c>
      <c r="U121">
        <f>T121*(1+$AC121/Keys!$C$7^ROUNDUP((U$112-Keys!$C$6)/Keys!$C$8,0))</f>
        <v>11407.062407141459</v>
      </c>
      <c r="V121">
        <f>U121*(1+$AC121/Keys!$C$7^ROUNDUP((V$112-Keys!$C$6)/Keys!$C$8,0))</f>
        <v>11455.299955612078</v>
      </c>
      <c r="W121">
        <f>V121*(1+$AC121/Keys!$C$7^ROUNDUP((W$112-Keys!$C$6)/Keys!$C$8,0))</f>
        <v>11503.741488333804</v>
      </c>
      <c r="X121">
        <f>W121*(1+$AC121/Keys!$C$7^ROUNDUP((X$112-Keys!$C$6)/Keys!$C$8,0))</f>
        <v>11515.903083226316</v>
      </c>
      <c r="Y121">
        <f>X121*(1+$AC121/Keys!$C$7^ROUNDUP((Y$112-Keys!$C$6)/Keys!$C$8,0))</f>
        <v>11528.077535187154</v>
      </c>
      <c r="Z121">
        <f>Y121*(1+$AC121/Keys!$C$7^ROUNDUP((Z$112-Keys!$C$6)/Keys!$C$8,0))</f>
        <v>11540.264857808632</v>
      </c>
      <c r="AA121">
        <f>Z121*(1+$AC121/Keys!$C$7^ROUNDUP((AA$112-Keys!$C$6)/Keys!$C$8,0))</f>
        <v>11552.465064697433</v>
      </c>
      <c r="AB121">
        <f>AA121*(1+$AC121/Keys!$C$7^ROUNDUP((AB$112-Keys!$C$6)/Keys!$C$8,0))</f>
        <v>11564.678169474624</v>
      </c>
      <c r="AC121">
        <f>IFERROR((EPRI_PI2026!$J$11/EPRI_PI2026!$F$11)^(1/6)-1,0)</f>
        <v>0.27063962586782164</v>
      </c>
    </row>
    <row r="122" spans="1:29" x14ac:dyDescent="0.45">
      <c r="A122" t="s">
        <v>30</v>
      </c>
      <c r="B122">
        <f>IFERROR(EPRI_PI2026!$F$13,0)</f>
        <v>89</v>
      </c>
      <c r="C122">
        <f t="shared" si="12"/>
        <v>125.17805786186661</v>
      </c>
      <c r="D122">
        <f t="shared" si="12"/>
        <v>176.06231651762724</v>
      </c>
      <c r="E122">
        <f t="shared" si="12"/>
        <v>247.63077353188555</v>
      </c>
      <c r="F122">
        <f t="shared" si="12"/>
        <v>348.2914527814961</v>
      </c>
      <c r="G122">
        <f t="shared" si="12"/>
        <v>489.87019807950225</v>
      </c>
      <c r="H122">
        <f t="shared" si="12"/>
        <v>688.99999999999989</v>
      </c>
      <c r="I122">
        <f>H122*(1+$AC122/Keys!$C$7^ROUNDUP((I$112-Keys!$C$6)/Keys!$C$8,0))</f>
        <v>759.01876928883723</v>
      </c>
      <c r="J122">
        <f>I122*(1+$AC122/Keys!$C$7^ROUNDUP((J$112-Keys!$C$6)/Keys!$C$8,0))</f>
        <v>836.15310904606849</v>
      </c>
      <c r="K122">
        <f>J122*(1+$AC122/Keys!$C$7^ROUNDUP((K$112-Keys!$C$6)/Keys!$C$8,0))</f>
        <v>921.12613028328292</v>
      </c>
      <c r="L122">
        <f>K122*(1+$AC122/Keys!$C$7^ROUNDUP((L$112-Keys!$C$6)/Keys!$C$8,0))</f>
        <v>1014.7344292705467</v>
      </c>
      <c r="M122">
        <f>L122*(1+$AC122/Keys!$C$7^ROUNDUP((M$112-Keys!$C$6)/Keys!$C$8,0))</f>
        <v>1117.8555553845299</v>
      </c>
      <c r="N122">
        <f>M122*(1+$AC122/Keys!$C$7^ROUNDUP((N$112-Keys!$C$6)/Keys!$C$8,0))</f>
        <v>1146.2557260052536</v>
      </c>
      <c r="O122">
        <f>N122*(1+$AC122/Keys!$C$7^ROUNDUP((O$112-Keys!$C$6)/Keys!$C$8,0))</f>
        <v>1175.3774296428335</v>
      </c>
      <c r="P122">
        <f>O122*(1+$AC122/Keys!$C$7^ROUNDUP((P$112-Keys!$C$6)/Keys!$C$8,0))</f>
        <v>1205.2389975214503</v>
      </c>
      <c r="Q122">
        <f>P122*(1+$AC122/Keys!$C$7^ROUNDUP((Q$112-Keys!$C$6)/Keys!$C$8,0))</f>
        <v>1235.8592265872571</v>
      </c>
      <c r="R122">
        <f>Q122*(1+$AC122/Keys!$C$7^ROUNDUP((R$112-Keys!$C$6)/Keys!$C$8,0))</f>
        <v>1267.2573913404842</v>
      </c>
      <c r="S122">
        <f>R122*(1+$AC122/Keys!$C$7^ROUNDUP((S$112-Keys!$C$6)/Keys!$C$8,0))</f>
        <v>1275.3063574974003</v>
      </c>
      <c r="T122">
        <f>S122*(1+$AC122/Keys!$C$7^ROUNDUP((T$112-Keys!$C$6)/Keys!$C$8,0))</f>
        <v>1283.4064465411411</v>
      </c>
      <c r="U122">
        <f>T122*(1+$AC122/Keys!$C$7^ROUNDUP((U$112-Keys!$C$6)/Keys!$C$8,0))</f>
        <v>1291.5579831779489</v>
      </c>
      <c r="V122">
        <f>U122*(1+$AC122/Keys!$C$7^ROUNDUP((V$112-Keys!$C$6)/Keys!$C$8,0))</f>
        <v>1299.7612941764335</v>
      </c>
      <c r="W122">
        <f>V122*(1+$AC122/Keys!$C$7^ROUNDUP((W$112-Keys!$C$6)/Keys!$C$8,0))</f>
        <v>1308.0167083806696</v>
      </c>
      <c r="X122">
        <f>W122*(1+$AC122/Keys!$C$7^ROUNDUP((X$112-Keys!$C$6)/Keys!$C$8,0))</f>
        <v>1310.0936704663475</v>
      </c>
      <c r="Y122">
        <f>X122*(1+$AC122/Keys!$C$7^ROUNDUP((Y$112-Keys!$C$6)/Keys!$C$8,0))</f>
        <v>1312.173930500345</v>
      </c>
      <c r="Z122">
        <f>Y122*(1+$AC122/Keys!$C$7^ROUNDUP((Z$112-Keys!$C$6)/Keys!$C$8,0))</f>
        <v>1314.2574937193792</v>
      </c>
      <c r="AA122">
        <f>Z122*(1+$AC122/Keys!$C$7^ROUNDUP((AA$112-Keys!$C$6)/Keys!$C$8,0))</f>
        <v>1316.3443653684826</v>
      </c>
      <c r="AB122">
        <f>AA122*(1+$AC122/Keys!$C$7^ROUNDUP((AB$112-Keys!$C$6)/Keys!$C$8,0))</f>
        <v>1318.4345507010162</v>
      </c>
      <c r="AC122">
        <f>IFERROR((EPRI_PI2026!$J$13/EPRI_PI2026!$F$13)^(1/6)-1,0)</f>
        <v>0.40649503215580451</v>
      </c>
    </row>
    <row r="123" spans="1:29" x14ac:dyDescent="0.45">
      <c r="A123" t="s">
        <v>34</v>
      </c>
      <c r="B123">
        <f>IFERROR(EPRI_PI2026!$F$14,0)</f>
        <v>1602</v>
      </c>
      <c r="C123">
        <f t="shared" ref="C123:H132" si="13">B123*(1+$AC123)</f>
        <v>1953.2491985928161</v>
      </c>
      <c r="D123">
        <f t="shared" si="13"/>
        <v>2381.5121297150304</v>
      </c>
      <c r="E123">
        <f t="shared" si="13"/>
        <v>2903.674568542418</v>
      </c>
      <c r="F123">
        <f t="shared" si="13"/>
        <v>3540.3246092258546</v>
      </c>
      <c r="G123">
        <f t="shared" si="13"/>
        <v>4316.5644230517009</v>
      </c>
      <c r="H123">
        <f t="shared" si="13"/>
        <v>5262.9999999999982</v>
      </c>
      <c r="I123">
        <f>H123*(1+$AC123/Keys!$C$7^ROUNDUP((I$112-Keys!$C$6)/Keys!$C$8,0))</f>
        <v>5551.4869744372636</v>
      </c>
      <c r="J123">
        <f>I123*(1+$AC123/Keys!$C$7^ROUNDUP((J$112-Keys!$C$6)/Keys!$C$8,0))</f>
        <v>5855.787122809541</v>
      </c>
      <c r="K123">
        <f>J123*(1+$AC123/Keys!$C$7^ROUNDUP((K$112-Keys!$C$6)/Keys!$C$8,0))</f>
        <v>6176.7672311143142</v>
      </c>
      <c r="L123">
        <f>K123*(1+$AC123/Keys!$C$7^ROUNDUP((L$112-Keys!$C$6)/Keys!$C$8,0))</f>
        <v>6515.3415975037142</v>
      </c>
      <c r="M123">
        <f>L123*(1+$AC123/Keys!$C$7^ROUNDUP((M$112-Keys!$C$6)/Keys!$C$8,0))</f>
        <v>6872.4746366238178</v>
      </c>
      <c r="N123">
        <f>M123*(1+$AC123/Keys!$C$7^ROUNDUP((N$112-Keys!$C$6)/Keys!$C$8,0))</f>
        <v>6966.6518841450243</v>
      </c>
      <c r="O123">
        <f>N123*(1+$AC123/Keys!$C$7^ROUNDUP((O$112-Keys!$C$6)/Keys!$C$8,0))</f>
        <v>7062.1196935700027</v>
      </c>
      <c r="P123">
        <f>O123*(1+$AC123/Keys!$C$7^ROUNDUP((P$112-Keys!$C$6)/Keys!$C$8,0))</f>
        <v>7158.8957501685118</v>
      </c>
      <c r="Q123">
        <f>P123*(1+$AC123/Keys!$C$7^ROUNDUP((Q$112-Keys!$C$6)/Keys!$C$8,0))</f>
        <v>7256.9979815611532</v>
      </c>
      <c r="R123">
        <f>Q123*(1+$AC123/Keys!$C$7^ROUNDUP((R$112-Keys!$C$6)/Keys!$C$8,0))</f>
        <v>7356.4445610404382</v>
      </c>
      <c r="S123">
        <f>R123*(1+$AC123/Keys!$C$7^ROUNDUP((S$112-Keys!$C$6)/Keys!$C$8,0))</f>
        <v>7381.6468985146694</v>
      </c>
      <c r="T123">
        <f>S123*(1+$AC123/Keys!$C$7^ROUNDUP((T$112-Keys!$C$6)/Keys!$C$8,0))</f>
        <v>7406.9355763138892</v>
      </c>
      <c r="U123">
        <f>T123*(1+$AC123/Keys!$C$7^ROUNDUP((U$112-Keys!$C$6)/Keys!$C$8,0))</f>
        <v>7432.3108902301747</v>
      </c>
      <c r="V123">
        <f>U123*(1+$AC123/Keys!$C$7^ROUNDUP((V$112-Keys!$C$6)/Keys!$C$8,0))</f>
        <v>7457.7731370689507</v>
      </c>
      <c r="W123">
        <f>V123*(1+$AC123/Keys!$C$7^ROUNDUP((W$112-Keys!$C$6)/Keys!$C$8,0))</f>
        <v>7483.3226146524648</v>
      </c>
      <c r="X123">
        <f>W123*(1+$AC123/Keys!$C$7^ROUNDUP((X$112-Keys!$C$6)/Keys!$C$8,0))</f>
        <v>7489.731866445165</v>
      </c>
      <c r="Y123">
        <f>X123*(1+$AC123/Keys!$C$7^ROUNDUP((Y$112-Keys!$C$6)/Keys!$C$8,0))</f>
        <v>7496.1466075787175</v>
      </c>
      <c r="Z123">
        <f>Y123*(1+$AC123/Keys!$C$7^ROUNDUP((Z$112-Keys!$C$6)/Keys!$C$8,0))</f>
        <v>7502.5668427545861</v>
      </c>
      <c r="AA123">
        <f>Z123*(1+$AC123/Keys!$C$7^ROUNDUP((AA$112-Keys!$C$6)/Keys!$C$8,0))</f>
        <v>7508.9925766782617</v>
      </c>
      <c r="AB123">
        <f>AA123*(1+$AC123/Keys!$C$7^ROUNDUP((AB$112-Keys!$C$6)/Keys!$C$8,0))</f>
        <v>7515.4238140592633</v>
      </c>
      <c r="AC123">
        <f>IFERROR((EPRI_PI2026!$J$14/EPRI_PI2026!$F$14)^(1/6)-1,0)</f>
        <v>0.21925667827266926</v>
      </c>
    </row>
    <row r="124" spans="1:29" x14ac:dyDescent="0.45">
      <c r="A124" t="s">
        <v>38</v>
      </c>
      <c r="B124">
        <f>IFERROR(EPRI_PI2026!$F$15,0)</f>
        <v>292</v>
      </c>
      <c r="C124">
        <f t="shared" si="13"/>
        <v>500.70541280017244</v>
      </c>
      <c r="D124">
        <f t="shared" si="13"/>
        <v>858.58188495681873</v>
      </c>
      <c r="E124">
        <f t="shared" si="13"/>
        <v>1472.2486203084043</v>
      </c>
      <c r="F124">
        <f t="shared" si="13"/>
        <v>2524.5303190959035</v>
      </c>
      <c r="G124">
        <f t="shared" si="13"/>
        <v>4328.9246422926899</v>
      </c>
      <c r="H124">
        <f t="shared" si="13"/>
        <v>7423</v>
      </c>
      <c r="I124">
        <f>H124*(1+$AC124/Keys!$C$7^ROUNDUP((I$112-Keys!$C$6)/Keys!$C$8,0))</f>
        <v>8749.3872253558911</v>
      </c>
      <c r="J124">
        <f>I124*(1+$AC124/Keys!$C$7^ROUNDUP((J$112-Keys!$C$6)/Keys!$C$8,0))</f>
        <v>10312.781465609707</v>
      </c>
      <c r="K124">
        <f>J124*(1+$AC124/Keys!$C$7^ROUNDUP((K$112-Keys!$C$6)/Keys!$C$8,0))</f>
        <v>12155.532589666249</v>
      </c>
      <c r="L124">
        <f>K124*(1+$AC124/Keys!$C$7^ROUNDUP((L$112-Keys!$C$6)/Keys!$C$8,0))</f>
        <v>14327.557801080842</v>
      </c>
      <c r="M124">
        <f>L124*(1+$AC124/Keys!$C$7^ROUNDUP((M$112-Keys!$C$6)/Keys!$C$8,0))</f>
        <v>16887.693815886414</v>
      </c>
      <c r="N124">
        <f>M124*(1+$AC124/Keys!$C$7^ROUNDUP((N$112-Keys!$C$6)/Keys!$C$8,0))</f>
        <v>17642.093025879454</v>
      </c>
      <c r="O124">
        <f>N124*(1+$AC124/Keys!$C$7^ROUNDUP((O$112-Keys!$C$6)/Keys!$C$8,0))</f>
        <v>18430.192406792386</v>
      </c>
      <c r="P124">
        <f>O124*(1+$AC124/Keys!$C$7^ROUNDUP((P$112-Keys!$C$6)/Keys!$C$8,0))</f>
        <v>19253.497396999195</v>
      </c>
      <c r="Q124">
        <f>P124*(1+$AC124/Keys!$C$7^ROUNDUP((Q$112-Keys!$C$6)/Keys!$C$8,0))</f>
        <v>20113.580685117293</v>
      </c>
      <c r="R124">
        <f>Q124*(1+$AC124/Keys!$C$7^ROUNDUP((R$112-Keys!$C$6)/Keys!$C$8,0))</f>
        <v>21012.085214179144</v>
      </c>
      <c r="S124">
        <f>R124*(1+$AC124/Keys!$C$7^ROUNDUP((S$112-Keys!$C$6)/Keys!$C$8,0))</f>
        <v>21246.745740635568</v>
      </c>
      <c r="T124">
        <f>S124*(1+$AC124/Keys!$C$7^ROUNDUP((T$112-Keys!$C$6)/Keys!$C$8,0))</f>
        <v>21484.026928588246</v>
      </c>
      <c r="U124">
        <f>T124*(1+$AC124/Keys!$C$7^ROUNDUP((U$112-Keys!$C$6)/Keys!$C$8,0))</f>
        <v>21723.958045280295</v>
      </c>
      <c r="V124">
        <f>U124*(1+$AC124/Keys!$C$7^ROUNDUP((V$112-Keys!$C$6)/Keys!$C$8,0))</f>
        <v>21966.568684808004</v>
      </c>
      <c r="W124">
        <f>V124*(1+$AC124/Keys!$C$7^ROUNDUP((W$112-Keys!$C$6)/Keys!$C$8,0))</f>
        <v>22211.88877177109</v>
      </c>
      <c r="X124">
        <f>W124*(1+$AC124/Keys!$C$7^ROUNDUP((X$112-Keys!$C$6)/Keys!$C$8,0))</f>
        <v>22273.903720069247</v>
      </c>
      <c r="Y124">
        <f>X124*(1+$AC124/Keys!$C$7^ROUNDUP((Y$112-Keys!$C$6)/Keys!$C$8,0))</f>
        <v>22336.091812301809</v>
      </c>
      <c r="Z124">
        <f>Y124*(1+$AC124/Keys!$C$7^ROUNDUP((Z$112-Keys!$C$6)/Keys!$C$8,0))</f>
        <v>22398.453531881605</v>
      </c>
      <c r="AA124">
        <f>Z124*(1+$AC124/Keys!$C$7^ROUNDUP((AA$112-Keys!$C$6)/Keys!$C$8,0))</f>
        <v>22460.989363571149</v>
      </c>
      <c r="AB124">
        <f>AA124*(1+$AC124/Keys!$C$7^ROUNDUP((AB$112-Keys!$C$6)/Keys!$C$8,0))</f>
        <v>22523.699793486394</v>
      </c>
      <c r="AC124">
        <f>IFERROR((EPRI_PI2026!$J$15/EPRI_PI2026!$F$15)^(1/6)-1,0)</f>
        <v>0.71474456438415213</v>
      </c>
    </row>
    <row r="125" spans="1:29" x14ac:dyDescent="0.45">
      <c r="A125" t="s">
        <v>41</v>
      </c>
      <c r="B125">
        <f>IFERROR(EPRI_PI2026!$F$16,0)</f>
        <v>1698</v>
      </c>
      <c r="C125">
        <f t="shared" si="13"/>
        <v>1903.1240178981932</v>
      </c>
      <c r="D125">
        <f t="shared" si="13"/>
        <v>2133.0276958191771</v>
      </c>
      <c r="E125">
        <f t="shared" si="13"/>
        <v>2390.7044986781611</v>
      </c>
      <c r="F125">
        <f t="shared" si="13"/>
        <v>2679.5095118561062</v>
      </c>
      <c r="G125">
        <f t="shared" si="13"/>
        <v>3003.2031261484212</v>
      </c>
      <c r="H125">
        <f t="shared" si="13"/>
        <v>3365.9999999999986</v>
      </c>
      <c r="I125">
        <f>H125*(1+$AC125/Keys!$C$7^ROUNDUP((I$112-Keys!$C$6)/Keys!$C$8,0))</f>
        <v>3467.6559841350577</v>
      </c>
      <c r="J125">
        <f>I125*(1+$AC125/Keys!$C$7^ROUNDUP((J$112-Keys!$C$6)/Keys!$C$8,0))</f>
        <v>3572.382063074177</v>
      </c>
      <c r="K125">
        <f>J125*(1+$AC125/Keys!$C$7^ROUNDUP((K$112-Keys!$C$6)/Keys!$C$8,0))</f>
        <v>3680.2709562198211</v>
      </c>
      <c r="L125">
        <f>K125*(1+$AC125/Keys!$C$7^ROUNDUP((L$112-Keys!$C$6)/Keys!$C$8,0))</f>
        <v>3791.4181831770998</v>
      </c>
      <c r="M125">
        <f>L125*(1+$AC125/Keys!$C$7^ROUNDUP((M$112-Keys!$C$6)/Keys!$C$8,0))</f>
        <v>3905.9221483222054</v>
      </c>
      <c r="N125">
        <f>M125*(1+$AC125/Keys!$C$7^ROUNDUP((N$112-Keys!$C$6)/Keys!$C$8,0))</f>
        <v>3935.4126682228753</v>
      </c>
      <c r="O125">
        <f>N125*(1+$AC125/Keys!$C$7^ROUNDUP((O$112-Keys!$C$6)/Keys!$C$8,0))</f>
        <v>3965.1258476469525</v>
      </c>
      <c r="P125">
        <f>O125*(1+$AC125/Keys!$C$7^ROUNDUP((P$112-Keys!$C$6)/Keys!$C$8,0))</f>
        <v>3995.0633677198812</v>
      </c>
      <c r="Q125">
        <f>P125*(1+$AC125/Keys!$C$7^ROUNDUP((Q$112-Keys!$C$6)/Keys!$C$8,0))</f>
        <v>4025.2269222599502</v>
      </c>
      <c r="R125">
        <f>Q125*(1+$AC125/Keys!$C$7^ROUNDUP((R$112-Keys!$C$6)/Keys!$C$8,0))</f>
        <v>4055.6182178741269</v>
      </c>
      <c r="S125">
        <f>R125*(1+$AC125/Keys!$C$7^ROUNDUP((S$112-Keys!$C$6)/Keys!$C$8,0))</f>
        <v>4063.2734069192488</v>
      </c>
      <c r="T125">
        <f>S125*(1+$AC125/Keys!$C$7^ROUNDUP((T$112-Keys!$C$6)/Keys!$C$8,0))</f>
        <v>4070.9430455294355</v>
      </c>
      <c r="U125">
        <f>T125*(1+$AC125/Keys!$C$7^ROUNDUP((U$112-Keys!$C$6)/Keys!$C$8,0))</f>
        <v>4078.6271609789878</v>
      </c>
      <c r="V125">
        <f>U125*(1+$AC125/Keys!$C$7^ROUNDUP((V$112-Keys!$C$6)/Keys!$C$8,0))</f>
        <v>4086.3257805936883</v>
      </c>
      <c r="W125">
        <f>V125*(1+$AC125/Keys!$C$7^ROUNDUP((W$112-Keys!$C$6)/Keys!$C$8,0))</f>
        <v>4094.0389317508989</v>
      </c>
      <c r="X125">
        <f>W125*(1+$AC125/Keys!$C$7^ROUNDUP((X$112-Keys!$C$6)/Keys!$C$8,0))</f>
        <v>4095.970859283088</v>
      </c>
      <c r="Y125">
        <f>X125*(1+$AC125/Keys!$C$7^ROUNDUP((Y$112-Keys!$C$6)/Keys!$C$8,0))</f>
        <v>4097.9036984685499</v>
      </c>
      <c r="Z125">
        <f>Y125*(1+$AC125/Keys!$C$7^ROUNDUP((Z$112-Keys!$C$6)/Keys!$C$8,0))</f>
        <v>4099.8374497374816</v>
      </c>
      <c r="AA125">
        <f>Z125*(1+$AC125/Keys!$C$7^ROUNDUP((AA$112-Keys!$C$6)/Keys!$C$8,0))</f>
        <v>4101.7721135202855</v>
      </c>
      <c r="AB125">
        <f>AA125*(1+$AC125/Keys!$C$7^ROUNDUP((AB$112-Keys!$C$6)/Keys!$C$8,0))</f>
        <v>4103.7076902475656</v>
      </c>
      <c r="AC125">
        <f>IFERROR((EPRI_PI2026!$J$16/EPRI_PI2026!$F$16)^(1/6)-1,0)</f>
        <v>0.12080330853839416</v>
      </c>
    </row>
    <row r="126" spans="1:29" x14ac:dyDescent="0.45">
      <c r="A126" t="s">
        <v>43</v>
      </c>
      <c r="B126">
        <f>IFERROR(EPRI_PI2026!$F$17,0)</f>
        <v>44</v>
      </c>
      <c r="C126">
        <f t="shared" si="13"/>
        <v>45.527750267089608</v>
      </c>
      <c r="D126">
        <f t="shared" si="13"/>
        <v>47.108546463238135</v>
      </c>
      <c r="E126">
        <f t="shared" si="13"/>
        <v>48.744230427815758</v>
      </c>
      <c r="F126">
        <f t="shared" si="13"/>
        <v>50.436707951796961</v>
      </c>
      <c r="G126">
        <f t="shared" si="13"/>
        <v>52.18795099826238</v>
      </c>
      <c r="H126">
        <f t="shared" si="13"/>
        <v>53.999999999999993</v>
      </c>
      <c r="I126">
        <f>H126*(1+$AC126/Keys!$C$7^ROUNDUP((I$112-Keys!$C$6)/Keys!$C$8,0))</f>
        <v>54.468741559220675</v>
      </c>
      <c r="J126">
        <f>I126*(1+$AC126/Keys!$C$7^ROUNDUP((J$112-Keys!$C$6)/Keys!$C$8,0))</f>
        <v>54.941551982318032</v>
      </c>
      <c r="K126">
        <f>J126*(1+$AC126/Keys!$C$7^ROUNDUP((K$112-Keys!$C$6)/Keys!$C$8,0))</f>
        <v>55.418466588654994</v>
      </c>
      <c r="L126">
        <f>K126*(1+$AC126/Keys!$C$7^ROUNDUP((L$112-Keys!$C$6)/Keys!$C$8,0))</f>
        <v>55.899521004180649</v>
      </c>
      <c r="M126">
        <f>L126*(1+$AC126/Keys!$C$7^ROUNDUP((M$112-Keys!$C$6)/Keys!$C$8,0))</f>
        <v>56.384751164091554</v>
      </c>
      <c r="N126">
        <f>M126*(1+$AC126/Keys!$C$7^ROUNDUP((N$112-Keys!$C$6)/Keys!$C$8,0))</f>
        <v>56.507111701947693</v>
      </c>
      <c r="O126">
        <f>N126*(1+$AC126/Keys!$C$7^ROUNDUP((O$112-Keys!$C$6)/Keys!$C$8,0))</f>
        <v>56.629737774383933</v>
      </c>
      <c r="P126">
        <f>O126*(1+$AC126/Keys!$C$7^ROUNDUP((P$112-Keys!$C$6)/Keys!$C$8,0))</f>
        <v>56.75262995763682</v>
      </c>
      <c r="Q126">
        <f>P126*(1+$AC126/Keys!$C$7^ROUNDUP((Q$112-Keys!$C$6)/Keys!$C$8,0))</f>
        <v>56.875788829193382</v>
      </c>
      <c r="R126">
        <f>Q126*(1+$AC126/Keys!$C$7^ROUNDUP((R$112-Keys!$C$6)/Keys!$C$8,0))</f>
        <v>56.999214967793854</v>
      </c>
      <c r="S126">
        <f>R126*(1+$AC126/Keys!$C$7^ROUNDUP((S$112-Keys!$C$6)/Keys!$C$8,0))</f>
        <v>57.030138464203993</v>
      </c>
      <c r="T126">
        <f>S126*(1+$AC126/Keys!$C$7^ROUNDUP((T$112-Keys!$C$6)/Keys!$C$8,0))</f>
        <v>57.061078737382559</v>
      </c>
      <c r="U126">
        <f>T126*(1+$AC126/Keys!$C$7^ROUNDUP((U$112-Keys!$C$6)/Keys!$C$8,0))</f>
        <v>57.092035796431375</v>
      </c>
      <c r="V126">
        <f>U126*(1+$AC126/Keys!$C$7^ROUNDUP((V$112-Keys!$C$6)/Keys!$C$8,0))</f>
        <v>57.123009650457185</v>
      </c>
      <c r="W126">
        <f>V126*(1+$AC126/Keys!$C$7^ROUNDUP((W$112-Keys!$C$6)/Keys!$C$8,0))</f>
        <v>57.154000308571689</v>
      </c>
      <c r="X126">
        <f>W126*(1+$AC126/Keys!$C$7^ROUNDUP((X$112-Keys!$C$6)/Keys!$C$8,0))</f>
        <v>57.161752176401642</v>
      </c>
      <c r="Y126">
        <f>X126*(1+$AC126/Keys!$C$7^ROUNDUP((Y$112-Keys!$C$6)/Keys!$C$8,0))</f>
        <v>57.169505095627031</v>
      </c>
      <c r="Z126">
        <f>Y126*(1+$AC126/Keys!$C$7^ROUNDUP((Z$112-Keys!$C$6)/Keys!$C$8,0))</f>
        <v>57.177259066390455</v>
      </c>
      <c r="AA126">
        <f>Z126*(1+$AC126/Keys!$C$7^ROUNDUP((AA$112-Keys!$C$6)/Keys!$C$8,0))</f>
        <v>57.185014088834535</v>
      </c>
      <c r="AB126">
        <f>AA126*(1+$AC126/Keys!$C$7^ROUNDUP((AB$112-Keys!$C$6)/Keys!$C$8,0))</f>
        <v>57.192770163101912</v>
      </c>
      <c r="AC126">
        <f>IFERROR((EPRI_PI2026!$J$17/EPRI_PI2026!$F$17)^(1/6)-1,0)</f>
        <v>3.4721596979309322E-2</v>
      </c>
    </row>
    <row r="127" spans="1:29" x14ac:dyDescent="0.45">
      <c r="A127" t="s">
        <v>46</v>
      </c>
      <c r="B127">
        <f>IFERROR(EPRI_PI2026!$F$18,0)</f>
        <v>375</v>
      </c>
      <c r="C127">
        <f t="shared" si="13"/>
        <v>413.90214023168443</v>
      </c>
      <c r="D127">
        <f t="shared" si="13"/>
        <v>456.83995116898387</v>
      </c>
      <c r="E127">
        <f t="shared" si="13"/>
        <v>504.23208941914834</v>
      </c>
      <c r="F127">
        <f t="shared" si="13"/>
        <v>556.54064262421218</v>
      </c>
      <c r="G127">
        <f t="shared" si="13"/>
        <v>614.27563495487584</v>
      </c>
      <c r="H127">
        <f t="shared" si="13"/>
        <v>678</v>
      </c>
      <c r="I127">
        <f>H127*(1+$AC127/Keys!$C$7^ROUNDUP((I$112-Keys!$C$6)/Keys!$C$8,0))</f>
        <v>695.58376738472134</v>
      </c>
      <c r="J127">
        <f>I127*(1+$AC127/Keys!$C$7^ROUNDUP((J$112-Keys!$C$6)/Keys!$C$8,0))</f>
        <v>713.62356555917711</v>
      </c>
      <c r="K127">
        <f>J127*(1+$AC127/Keys!$C$7^ROUNDUP((K$112-Keys!$C$6)/Keys!$C$8,0))</f>
        <v>732.13122157252224</v>
      </c>
      <c r="L127">
        <f>K127*(1+$AC127/Keys!$C$7^ROUNDUP((L$112-Keys!$C$6)/Keys!$C$8,0))</f>
        <v>751.11886920559459</v>
      </c>
      <c r="M127">
        <f>L127*(1+$AC127/Keys!$C$7^ROUNDUP((M$112-Keys!$C$6)/Keys!$C$8,0))</f>
        <v>770.59895692592806</v>
      </c>
      <c r="N127">
        <f>M127*(1+$AC127/Keys!$C$7^ROUNDUP((N$112-Keys!$C$6)/Keys!$C$8,0))</f>
        <v>775.59528170671513</v>
      </c>
      <c r="O127">
        <f>N127*(1+$AC127/Keys!$C$7^ROUNDUP((O$112-Keys!$C$6)/Keys!$C$8,0))</f>
        <v>780.62400110871306</v>
      </c>
      <c r="P127">
        <f>O127*(1+$AC127/Keys!$C$7^ROUNDUP((P$112-Keys!$C$6)/Keys!$C$8,0))</f>
        <v>785.68532516860466</v>
      </c>
      <c r="Q127">
        <f>P127*(1+$AC127/Keys!$C$7^ROUNDUP((Q$112-Keys!$C$6)/Keys!$C$8,0))</f>
        <v>790.77946528488553</v>
      </c>
      <c r="R127">
        <f>Q127*(1+$AC127/Keys!$C$7^ROUNDUP((R$112-Keys!$C$6)/Keys!$C$8,0))</f>
        <v>795.90663422669365</v>
      </c>
      <c r="S127">
        <f>R127*(1+$AC127/Keys!$C$7^ROUNDUP((S$112-Keys!$C$6)/Keys!$C$8,0))</f>
        <v>797.19673720569426</v>
      </c>
      <c r="T127">
        <f>S127*(1+$AC127/Keys!$C$7^ROUNDUP((T$112-Keys!$C$6)/Keys!$C$8,0))</f>
        <v>798.48893134165326</v>
      </c>
      <c r="U127">
        <f>T127*(1+$AC127/Keys!$C$7^ROUNDUP((U$112-Keys!$C$6)/Keys!$C$8,0))</f>
        <v>799.78322002417417</v>
      </c>
      <c r="V127">
        <f>U127*(1+$AC127/Keys!$C$7^ROUNDUP((V$112-Keys!$C$6)/Keys!$C$8,0))</f>
        <v>801.07960664835457</v>
      </c>
      <c r="W127">
        <f>V127*(1+$AC127/Keys!$C$7^ROUNDUP((W$112-Keys!$C$6)/Keys!$C$8,0))</f>
        <v>802.37809461479526</v>
      </c>
      <c r="X127">
        <f>W127*(1+$AC127/Keys!$C$7^ROUNDUP((X$112-Keys!$C$6)/Keys!$C$8,0))</f>
        <v>802.70324279349882</v>
      </c>
      <c r="Y127">
        <f>X127*(1+$AC127/Keys!$C$7^ROUNDUP((Y$112-Keys!$C$6)/Keys!$C$8,0))</f>
        <v>803.02852273220276</v>
      </c>
      <c r="Z127">
        <f>Y127*(1+$AC127/Keys!$C$7^ROUNDUP((Z$112-Keys!$C$6)/Keys!$C$8,0))</f>
        <v>803.35393448430034</v>
      </c>
      <c r="AA127">
        <f>Z127*(1+$AC127/Keys!$C$7^ROUNDUP((AA$112-Keys!$C$6)/Keys!$C$8,0))</f>
        <v>803.67947810320641</v>
      </c>
      <c r="AB127">
        <f>AA127*(1+$AC127/Keys!$C$7^ROUNDUP((AB$112-Keys!$C$6)/Keys!$C$8,0))</f>
        <v>804.00515364235741</v>
      </c>
      <c r="AC127">
        <f>IFERROR((EPRI_PI2026!$J$18/EPRI_PI2026!$F$18)^(1/6)-1,0)</f>
        <v>0.10373904061782513</v>
      </c>
    </row>
    <row r="128" spans="1:29" x14ac:dyDescent="0.45">
      <c r="A128" t="s">
        <v>50</v>
      </c>
      <c r="B128">
        <f>IFERROR(EPRI_PI2026!$F$19,0)</f>
        <v>9</v>
      </c>
      <c r="C128">
        <f t="shared" si="13"/>
        <v>21.321305247627809</v>
      </c>
      <c r="D128">
        <f t="shared" si="13"/>
        <v>50.510895273613457</v>
      </c>
      <c r="E128">
        <f t="shared" si="13"/>
        <v>119.66202405107481</v>
      </c>
      <c r="F128">
        <f t="shared" si="13"/>
        <v>283.48339348243849</v>
      </c>
      <c r="G128">
        <f t="shared" si="13"/>
        <v>671.58177389693935</v>
      </c>
      <c r="H128">
        <f t="shared" si="13"/>
        <v>1591.0000000000007</v>
      </c>
      <c r="I128">
        <f>H128*(1+$AC128/Keys!$C$7^ROUNDUP((I$112-Keys!$C$6)/Keys!$C$8,0))</f>
        <v>2135.53324024933</v>
      </c>
      <c r="J128">
        <f>I128*(1+$AC128/Keys!$C$7^ROUNDUP((J$112-Keys!$C$6)/Keys!$C$8,0))</f>
        <v>2866.4375991262104</v>
      </c>
      <c r="K128">
        <f>J128*(1+$AC128/Keys!$C$7^ROUNDUP((K$112-Keys!$C$6)/Keys!$C$8,0))</f>
        <v>3847.5001722404172</v>
      </c>
      <c r="L128">
        <f>K128*(1+$AC128/Keys!$C$7^ROUNDUP((L$112-Keys!$C$6)/Keys!$C$8,0))</f>
        <v>5164.3397295313825</v>
      </c>
      <c r="M128">
        <f>L128*(1+$AC128/Keys!$C$7^ROUNDUP((M$112-Keys!$C$6)/Keys!$C$8,0))</f>
        <v>6931.8787909204884</v>
      </c>
      <c r="N128">
        <f>M128*(1+$AC128/Keys!$C$7^ROUNDUP((N$112-Keys!$C$6)/Keys!$C$8,0))</f>
        <v>7525.0023639933252</v>
      </c>
      <c r="O128">
        <f>N128*(1+$AC128/Keys!$C$7^ROUNDUP((O$112-Keys!$C$6)/Keys!$C$8,0))</f>
        <v>8168.8763300758437</v>
      </c>
      <c r="P128">
        <f>O128*(1+$AC128/Keys!$C$7^ROUNDUP((P$112-Keys!$C$6)/Keys!$C$8,0))</f>
        <v>8867.8431272493581</v>
      </c>
      <c r="Q128">
        <f>P128*(1+$AC128/Keys!$C$7^ROUNDUP((Q$112-Keys!$C$6)/Keys!$C$8,0))</f>
        <v>9626.6167526585086</v>
      </c>
      <c r="R128">
        <f>Q128*(1+$AC128/Keys!$C$7^ROUNDUP((R$112-Keys!$C$6)/Keys!$C$8,0))</f>
        <v>10450.314554821238</v>
      </c>
      <c r="S128">
        <f>R128*(1+$AC128/Keys!$C$7^ROUNDUP((S$112-Keys!$C$6)/Keys!$C$8,0))</f>
        <v>10673.858852674848</v>
      </c>
      <c r="T128">
        <f>S128*(1+$AC128/Keys!$C$7^ROUNDUP((T$112-Keys!$C$6)/Keys!$C$8,0))</f>
        <v>10902.185021240648</v>
      </c>
      <c r="U128">
        <f>T128*(1+$AC128/Keys!$C$7^ROUNDUP((U$112-Keys!$C$6)/Keys!$C$8,0))</f>
        <v>11135.395350255962</v>
      </c>
      <c r="V128">
        <f>U128*(1+$AC128/Keys!$C$7^ROUNDUP((V$112-Keys!$C$6)/Keys!$C$8,0))</f>
        <v>11373.594317553736</v>
      </c>
      <c r="W128">
        <f>V128*(1+$AC128/Keys!$C$7^ROUNDUP((W$112-Keys!$C$6)/Keys!$C$8,0))</f>
        <v>11616.88863586843</v>
      </c>
      <c r="X128">
        <f>W128*(1+$AC128/Keys!$C$7^ROUNDUP((X$112-Keys!$C$6)/Keys!$C$8,0))</f>
        <v>11679.013302062109</v>
      </c>
      <c r="Y128">
        <f>X128*(1+$AC128/Keys!$C$7^ROUNDUP((Y$112-Keys!$C$6)/Keys!$C$8,0))</f>
        <v>11741.470197845883</v>
      </c>
      <c r="Z128">
        <f>Y128*(1+$AC128/Keys!$C$7^ROUNDUP((Z$112-Keys!$C$6)/Keys!$C$8,0))</f>
        <v>11804.261099913412</v>
      </c>
      <c r="AA128">
        <f>Z128*(1+$AC128/Keys!$C$7^ROUNDUP((AA$112-Keys!$C$6)/Keys!$C$8,0))</f>
        <v>11867.387794459737</v>
      </c>
      <c r="AB128">
        <f>AA128*(1+$AC128/Keys!$C$7^ROUNDUP((AB$112-Keys!$C$6)/Keys!$C$8,0))</f>
        <v>11930.852077232095</v>
      </c>
      <c r="AC128">
        <f>IFERROR((EPRI_PI2026!$J$19/EPRI_PI2026!$F$19)^(1/6)-1,0)</f>
        <v>1.3690339164030898</v>
      </c>
    </row>
    <row r="129" spans="1:29" x14ac:dyDescent="0.45">
      <c r="A129" t="s">
        <v>54</v>
      </c>
      <c r="B129">
        <f>IFERROR(EPRI_PI2026!$F$20,0)</f>
        <v>3</v>
      </c>
      <c r="C129">
        <f t="shared" si="13"/>
        <v>4.149262662805465</v>
      </c>
      <c r="D129">
        <f t="shared" si="13"/>
        <v>5.7387935483171661</v>
      </c>
      <c r="E129">
        <f t="shared" si="13"/>
        <v>7.9372539331937695</v>
      </c>
      <c r="F129">
        <f t="shared" si="13"/>
        <v>10.97791713006891</v>
      </c>
      <c r="G129">
        <f t="shared" si="13"/>
        <v>15.183420554389151</v>
      </c>
      <c r="H129">
        <f t="shared" si="13"/>
        <v>20.999999999999989</v>
      </c>
      <c r="I129">
        <f>H129*(1+$AC129/Keys!$C$7^ROUNDUP((I$112-Keys!$C$6)/Keys!$C$8,0))</f>
        <v>23.011209659909554</v>
      </c>
      <c r="J129">
        <f>I129*(1+$AC129/Keys!$C$7^ROUNDUP((J$112-Keys!$C$6)/Keys!$C$8,0))</f>
        <v>25.215036667253095</v>
      </c>
      <c r="K129">
        <f>J129*(1+$AC129/Keys!$C$7^ROUNDUP((K$112-Keys!$C$6)/Keys!$C$8,0))</f>
        <v>27.629928349165159</v>
      </c>
      <c r="L129">
        <f>K129*(1+$AC129/Keys!$C$7^ROUNDUP((L$112-Keys!$C$6)/Keys!$C$8,0))</f>
        <v>30.276098768138972</v>
      </c>
      <c r="M129">
        <f>L129*(1+$AC129/Keys!$C$7^ROUNDUP((M$112-Keys!$C$6)/Keys!$C$8,0))</f>
        <v>33.175697925608361</v>
      </c>
      <c r="N129">
        <f>M129*(1+$AC129/Keys!$C$7^ROUNDUP((N$112-Keys!$C$6)/Keys!$C$8,0))</f>
        <v>33.970022736825328</v>
      </c>
      <c r="O129">
        <f>N129*(1+$AC129/Keys!$C$7^ROUNDUP((O$112-Keys!$C$6)/Keys!$C$8,0))</f>
        <v>34.783366044868785</v>
      </c>
      <c r="P129">
        <f>O129*(1+$AC129/Keys!$C$7^ROUNDUP((P$112-Keys!$C$6)/Keys!$C$8,0))</f>
        <v>35.616183209078436</v>
      </c>
      <c r="Q129">
        <f>P129*(1+$AC129/Keys!$C$7^ROUNDUP((Q$112-Keys!$C$6)/Keys!$C$8,0))</f>
        <v>36.468940491449949</v>
      </c>
      <c r="R129">
        <f>Q129*(1+$AC129/Keys!$C$7^ROUNDUP((R$112-Keys!$C$6)/Keys!$C$8,0))</f>
        <v>37.342115317676985</v>
      </c>
      <c r="S129">
        <f>R129*(1+$AC129/Keys!$C$7^ROUNDUP((S$112-Keys!$C$6)/Keys!$C$8,0))</f>
        <v>37.565635624368554</v>
      </c>
      <c r="T129">
        <f>S129*(1+$AC129/Keys!$C$7^ROUNDUP((T$112-Keys!$C$6)/Keys!$C$8,0))</f>
        <v>37.790493866179183</v>
      </c>
      <c r="U129">
        <f>T129*(1+$AC129/Keys!$C$7^ROUNDUP((U$112-Keys!$C$6)/Keys!$C$8,0))</f>
        <v>38.016698051644696</v>
      </c>
      <c r="V129">
        <f>U129*(1+$AC129/Keys!$C$7^ROUNDUP((V$112-Keys!$C$6)/Keys!$C$8,0))</f>
        <v>38.244256237237948</v>
      </c>
      <c r="W129">
        <f>V129*(1+$AC129/Keys!$C$7^ROUNDUP((W$112-Keys!$C$6)/Keys!$C$8,0))</f>
        <v>38.473176527655774</v>
      </c>
      <c r="X129">
        <f>W129*(1+$AC129/Keys!$C$7^ROUNDUP((X$112-Keys!$C$6)/Keys!$C$8,0))</f>
        <v>38.530749164768743</v>
      </c>
      <c r="Y129">
        <f>X129*(1+$AC129/Keys!$C$7^ROUNDUP((Y$112-Keys!$C$6)/Keys!$C$8,0))</f>
        <v>38.588407955634622</v>
      </c>
      <c r="Z129">
        <f>Y129*(1+$AC129/Keys!$C$7^ROUNDUP((Z$112-Keys!$C$6)/Keys!$C$8,0))</f>
        <v>38.646153029176965</v>
      </c>
      <c r="AA129">
        <f>Z129*(1+$AC129/Keys!$C$7^ROUNDUP((AA$112-Keys!$C$6)/Keys!$C$8,0))</f>
        <v>38.703984514512257</v>
      </c>
      <c r="AB129">
        <f>AA129*(1+$AC129/Keys!$C$7^ROUNDUP((AB$112-Keys!$C$6)/Keys!$C$8,0))</f>
        <v>38.761902540950189</v>
      </c>
      <c r="AC129">
        <f>IFERROR((EPRI_PI2026!$J$20/EPRI_PI2026!$F$20)^(1/6)-1,0)</f>
        <v>0.38308755426848839</v>
      </c>
    </row>
    <row r="130" spans="1:29" x14ac:dyDescent="0.45">
      <c r="A130" t="s">
        <v>56</v>
      </c>
      <c r="B130">
        <f>IFERROR(EPRI_PI2026!$F$21,0)</f>
        <v>63</v>
      </c>
      <c r="C130">
        <f t="shared" si="13"/>
        <v>115.158261953753</v>
      </c>
      <c r="D130">
        <f t="shared" si="13"/>
        <v>210.49881422554276</v>
      </c>
      <c r="E130">
        <f t="shared" si="13"/>
        <v>384.7726601514197</v>
      </c>
      <c r="F130">
        <f t="shared" si="13"/>
        <v>703.32937762475501</v>
      </c>
      <c r="G130">
        <f t="shared" si="13"/>
        <v>1285.6220429885968</v>
      </c>
      <c r="H130">
        <f t="shared" si="13"/>
        <v>2349.9999999999986</v>
      </c>
      <c r="I130">
        <f>H130*(1+$AC130/Keys!$C$7^ROUNDUP((I$112-Keys!$C$6)/Keys!$C$8,0))</f>
        <v>2836.3964904417421</v>
      </c>
      <c r="J130">
        <f>I130*(1+$AC130/Keys!$C$7^ROUNDUP((J$112-Keys!$C$6)/Keys!$C$8,0))</f>
        <v>3423.4659791447816</v>
      </c>
      <c r="K130">
        <f>J130*(1+$AC130/Keys!$C$7^ROUNDUP((K$112-Keys!$C$6)/Keys!$C$8,0))</f>
        <v>4132.0454844225387</v>
      </c>
      <c r="L130">
        <f>K130*(1+$AC130/Keys!$C$7^ROUNDUP((L$112-Keys!$C$6)/Keys!$C$8,0))</f>
        <v>4987.284812919891</v>
      </c>
      <c r="M130">
        <f>L130*(1+$AC130/Keys!$C$7^ROUNDUP((M$112-Keys!$C$6)/Keys!$C$8,0))</f>
        <v>6019.5392085954845</v>
      </c>
      <c r="N130">
        <f>M130*(1+$AC130/Keys!$C$7^ROUNDUP((N$112-Keys!$C$6)/Keys!$C$8,0))</f>
        <v>6331.0160963760509</v>
      </c>
      <c r="O130">
        <f>N130*(1+$AC130/Keys!$C$7^ROUNDUP((O$112-Keys!$C$6)/Keys!$C$8,0))</f>
        <v>6658.6101400151474</v>
      </c>
      <c r="P130">
        <f>O130*(1+$AC130/Keys!$C$7^ROUNDUP((P$112-Keys!$C$6)/Keys!$C$8,0))</f>
        <v>7003.1553105814437</v>
      </c>
      <c r="Q130">
        <f>P130*(1+$AC130/Keys!$C$7^ROUNDUP((Q$112-Keys!$C$6)/Keys!$C$8,0))</f>
        <v>7365.5287323990269</v>
      </c>
      <c r="R130">
        <f>Q130*(1+$AC130/Keys!$C$7^ROUNDUP((R$112-Keys!$C$6)/Keys!$C$8,0))</f>
        <v>7746.6529159827205</v>
      </c>
      <c r="S130">
        <f>R130*(1+$AC130/Keys!$C$7^ROUNDUP((S$112-Keys!$C$6)/Keys!$C$8,0))</f>
        <v>7846.8642136158132</v>
      </c>
      <c r="T130">
        <f>S130*(1+$AC130/Keys!$C$7^ROUNDUP((T$112-Keys!$C$6)/Keys!$C$8,0))</f>
        <v>7948.3718522986755</v>
      </c>
      <c r="U130">
        <f>T130*(1+$AC130/Keys!$C$7^ROUNDUP((U$112-Keys!$C$6)/Keys!$C$8,0))</f>
        <v>8051.1926015987819</v>
      </c>
      <c r="V130">
        <f>U130*(1+$AC130/Keys!$C$7^ROUNDUP((V$112-Keys!$C$6)/Keys!$C$8,0))</f>
        <v>8155.3434480160204</v>
      </c>
      <c r="W130">
        <f>V130*(1+$AC130/Keys!$C$7^ROUNDUP((W$112-Keys!$C$6)/Keys!$C$8,0))</f>
        <v>8260.8415977889472</v>
      </c>
      <c r="X130">
        <f>W130*(1+$AC130/Keys!$C$7^ROUNDUP((X$112-Keys!$C$6)/Keys!$C$8,0))</f>
        <v>8287.5573182760454</v>
      </c>
      <c r="Y130">
        <f>X130*(1+$AC130/Keys!$C$7^ROUNDUP((Y$112-Keys!$C$6)/Keys!$C$8,0))</f>
        <v>8314.3594379166316</v>
      </c>
      <c r="Z130">
        <f>Y130*(1+$AC130/Keys!$C$7^ROUNDUP((Z$112-Keys!$C$6)/Keys!$C$8,0))</f>
        <v>8341.2482361272287</v>
      </c>
      <c r="AA130">
        <f>Z130*(1+$AC130/Keys!$C$7^ROUNDUP((AA$112-Keys!$C$6)/Keys!$C$8,0))</f>
        <v>8368.2239932279972</v>
      </c>
      <c r="AB130">
        <f>AA130*(1+$AC130/Keys!$C$7^ROUNDUP((AB$112-Keys!$C$6)/Keys!$C$8,0))</f>
        <v>8395.2869904456602</v>
      </c>
      <c r="AC130">
        <f>IFERROR((EPRI_PI2026!$J$21/EPRI_PI2026!$F$21)^(1/6)-1,0)</f>
        <v>0.82790891990084114</v>
      </c>
    </row>
    <row r="131" spans="1:29" x14ac:dyDescent="0.45">
      <c r="A131" t="s">
        <v>59</v>
      </c>
      <c r="B131">
        <f>IFERROR(EPRI_PI2026!$F$22,0)</f>
        <v>171</v>
      </c>
      <c r="C131">
        <f t="shared" si="13"/>
        <v>173.1010607320454</v>
      </c>
      <c r="D131">
        <f t="shared" si="13"/>
        <v>175.22793699742263</v>
      </c>
      <c r="E131">
        <f t="shared" si="13"/>
        <v>177.38094598913381</v>
      </c>
      <c r="F131">
        <f t="shared" si="13"/>
        <v>179.56040879750125</v>
      </c>
      <c r="G131">
        <f t="shared" si="13"/>
        <v>181.76665045805359</v>
      </c>
      <c r="H131">
        <f t="shared" si="13"/>
        <v>184</v>
      </c>
      <c r="I131">
        <f>H131*(1+$AC131/Keys!$C$7^ROUNDUP((I$112-Keys!$C$6)/Keys!$C$8,0))</f>
        <v>184.56519762382507</v>
      </c>
      <c r="J131">
        <f>I131*(1+$AC131/Keys!$C$7^ROUNDUP((J$112-Keys!$C$6)/Keys!$C$8,0))</f>
        <v>185.1321313800087</v>
      </c>
      <c r="K131">
        <f>J131*(1+$AC131/Keys!$C$7^ROUNDUP((K$112-Keys!$C$6)/Keys!$C$8,0))</f>
        <v>185.7008066014742</v>
      </c>
      <c r="L131">
        <f>K131*(1+$AC131/Keys!$C$7^ROUNDUP((L$112-Keys!$C$6)/Keys!$C$8,0))</f>
        <v>186.27122863752612</v>
      </c>
      <c r="M131">
        <f>L131*(1+$AC131/Keys!$C$7^ROUNDUP((M$112-Keys!$C$6)/Keys!$C$8,0))</f>
        <v>186.84340285390061</v>
      </c>
      <c r="N131">
        <f>M131*(1+$AC131/Keys!$C$7^ROUNDUP((N$112-Keys!$C$6)/Keys!$C$8,0))</f>
        <v>186.98688579862946</v>
      </c>
      <c r="O131">
        <f>N131*(1+$AC131/Keys!$C$7^ROUNDUP((O$112-Keys!$C$6)/Keys!$C$8,0))</f>
        <v>187.13047892843903</v>
      </c>
      <c r="P131">
        <f>O131*(1+$AC131/Keys!$C$7^ROUNDUP((P$112-Keys!$C$6)/Keys!$C$8,0))</f>
        <v>187.27418232794395</v>
      </c>
      <c r="Q131">
        <f>P131*(1+$AC131/Keys!$C$7^ROUNDUP((Q$112-Keys!$C$6)/Keys!$C$8,0))</f>
        <v>187.41799608182376</v>
      </c>
      <c r="R131">
        <f>Q131*(1+$AC131/Keys!$C$7^ROUNDUP((R$112-Keys!$C$6)/Keys!$C$8,0))</f>
        <v>187.56192027482311</v>
      </c>
      <c r="S131">
        <f>R131*(1+$AC131/Keys!$C$7^ROUNDUP((S$112-Keys!$C$6)/Keys!$C$8,0))</f>
        <v>187.59792895405525</v>
      </c>
      <c r="T131">
        <f>S131*(1+$AC131/Keys!$C$7^ROUNDUP((T$112-Keys!$C$6)/Keys!$C$8,0))</f>
        <v>187.63394454633763</v>
      </c>
      <c r="U131">
        <f>T131*(1+$AC131/Keys!$C$7^ROUNDUP((U$112-Keys!$C$6)/Keys!$C$8,0))</f>
        <v>187.66996705299744</v>
      </c>
      <c r="V131">
        <f>U131*(1+$AC131/Keys!$C$7^ROUNDUP((V$112-Keys!$C$6)/Keys!$C$8,0))</f>
        <v>187.70599647536213</v>
      </c>
      <c r="W131">
        <f>V131*(1+$AC131/Keys!$C$7^ROUNDUP((W$112-Keys!$C$6)/Keys!$C$8,0))</f>
        <v>187.7420328147594</v>
      </c>
      <c r="X131">
        <f>W131*(1+$AC131/Keys!$C$7^ROUNDUP((X$112-Keys!$C$6)/Keys!$C$8,0))</f>
        <v>187.75104362919888</v>
      </c>
      <c r="Y131">
        <f>X131*(1+$AC131/Keys!$C$7^ROUNDUP((Y$112-Keys!$C$6)/Keys!$C$8,0))</f>
        <v>187.76005487611889</v>
      </c>
      <c r="Z131">
        <f>Y131*(1+$AC131/Keys!$C$7^ROUNDUP((Z$112-Keys!$C$6)/Keys!$C$8,0))</f>
        <v>187.76906655554021</v>
      </c>
      <c r="AA131">
        <f>Z131*(1+$AC131/Keys!$C$7^ROUNDUP((AA$112-Keys!$C$6)/Keys!$C$8,0))</f>
        <v>187.77807866748358</v>
      </c>
      <c r="AB131">
        <f>AA131*(1+$AC131/Keys!$C$7^ROUNDUP((AB$112-Keys!$C$6)/Keys!$C$8,0))</f>
        <v>187.78709121196979</v>
      </c>
      <c r="AC131">
        <f>IFERROR((EPRI_PI2026!$J$22/EPRI_PI2026!$F$22)^(1/6)-1,0)</f>
        <v>1.228690486576256E-2</v>
      </c>
    </row>
    <row r="132" spans="1:29" x14ac:dyDescent="0.45">
      <c r="A132" t="s">
        <v>62</v>
      </c>
      <c r="B132">
        <f>IFERROR(EPRI_PI2026!$F$23,0)</f>
        <v>97</v>
      </c>
      <c r="C132">
        <f t="shared" si="13"/>
        <v>110.67394925339359</v>
      </c>
      <c r="D132">
        <f t="shared" si="13"/>
        <v>126.27549529219318</v>
      </c>
      <c r="E132">
        <f t="shared" si="13"/>
        <v>144.07636863830237</v>
      </c>
      <c r="F132">
        <f t="shared" si="13"/>
        <v>164.38660527101754</v>
      </c>
      <c r="G132">
        <f t="shared" si="13"/>
        <v>187.55994649177563</v>
      </c>
      <c r="H132">
        <f t="shared" si="13"/>
        <v>213.99999999999991</v>
      </c>
      <c r="I132">
        <f>H132*(1+$AC132/Keys!$C$7^ROUNDUP((I$112-Keys!$C$6)/Keys!$C$8,0))</f>
        <v>221.54181737171697</v>
      </c>
      <c r="J132">
        <f>I132*(1+$AC132/Keys!$C$7^ROUNDUP((J$112-Keys!$C$6)/Keys!$C$8,0))</f>
        <v>229.34942450637018</v>
      </c>
      <c r="K132">
        <f>J132*(1+$AC132/Keys!$C$7^ROUNDUP((K$112-Keys!$C$6)/Keys!$C$8,0))</f>
        <v>237.43218840326483</v>
      </c>
      <c r="L132">
        <f>K132*(1+$AC132/Keys!$C$7^ROUNDUP((L$112-Keys!$C$6)/Keys!$C$8,0))</f>
        <v>245.79980617478139</v>
      </c>
      <c r="M132">
        <f>L132*(1+$AC132/Keys!$C$7^ROUNDUP((M$112-Keys!$C$6)/Keys!$C$8,0))</f>
        <v>254.46231668026576</v>
      </c>
      <c r="N132">
        <f>M132*(1+$AC132/Keys!$C$7^ROUNDUP((N$112-Keys!$C$6)/Keys!$C$8,0))</f>
        <v>256.70426565268002</v>
      </c>
      <c r="O132">
        <f>N132*(1+$AC132/Keys!$C$7^ROUNDUP((O$112-Keys!$C$6)/Keys!$C$8,0))</f>
        <v>258.96596739344318</v>
      </c>
      <c r="P132">
        <f>O132*(1+$AC132/Keys!$C$7^ROUNDUP((P$112-Keys!$C$6)/Keys!$C$8,0))</f>
        <v>261.24759593499851</v>
      </c>
      <c r="Q132">
        <f>P132*(1+$AC132/Keys!$C$7^ROUNDUP((Q$112-Keys!$C$6)/Keys!$C$8,0))</f>
        <v>263.54932684310819</v>
      </c>
      <c r="R132">
        <f>Q132*(1+$AC132/Keys!$C$7^ROUNDUP((R$112-Keys!$C$6)/Keys!$C$8,0))</f>
        <v>265.87133723036249</v>
      </c>
      <c r="S132">
        <f>R132*(1+$AC132/Keys!$C$7^ROUNDUP((S$112-Keys!$C$6)/Keys!$C$8,0))</f>
        <v>266.45695436522391</v>
      </c>
      <c r="T132">
        <f>S132*(1+$AC132/Keys!$C$7^ROUNDUP((T$112-Keys!$C$6)/Keys!$C$8,0))</f>
        <v>267.04386140005056</v>
      </c>
      <c r="U132">
        <f>T132*(1+$AC132/Keys!$C$7^ROUNDUP((U$112-Keys!$C$6)/Keys!$C$8,0))</f>
        <v>267.63206117601942</v>
      </c>
      <c r="V132">
        <f>U132*(1+$AC132/Keys!$C$7^ROUNDUP((V$112-Keys!$C$6)/Keys!$C$8,0))</f>
        <v>268.22155654056547</v>
      </c>
      <c r="W132">
        <f>V132*(1+$AC132/Keys!$C$7^ROUNDUP((W$112-Keys!$C$6)/Keys!$C$8,0))</f>
        <v>268.81235034739569</v>
      </c>
      <c r="X132">
        <f>W132*(1+$AC132/Keys!$C$7^ROUNDUP((X$112-Keys!$C$6)/Keys!$C$8,0))</f>
        <v>268.96037412467246</v>
      </c>
      <c r="Y132">
        <f>X132*(1+$AC132/Keys!$C$7^ROUNDUP((Y$112-Keys!$C$6)/Keys!$C$8,0))</f>
        <v>269.10847941248477</v>
      </c>
      <c r="Z132">
        <f>Y132*(1+$AC132/Keys!$C$7^ROUNDUP((Z$112-Keys!$C$6)/Keys!$C$8,0))</f>
        <v>269.25666625571705</v>
      </c>
      <c r="AA132">
        <f>Z132*(1+$AC132/Keys!$C$7^ROUNDUP((AA$112-Keys!$C$6)/Keys!$C$8,0))</f>
        <v>269.40493469927856</v>
      </c>
      <c r="AB132">
        <f>AA132*(1+$AC132/Keys!$C$7^ROUNDUP((AB$112-Keys!$C$6)/Keys!$C$8,0))</f>
        <v>269.55328478810316</v>
      </c>
      <c r="AC132">
        <f>IFERROR((EPRI_PI2026!$J$23/EPRI_PI2026!$F$23)^(1/6)-1,0)</f>
        <v>0.14096854900405753</v>
      </c>
    </row>
    <row r="133" spans="1:29" x14ac:dyDescent="0.45">
      <c r="A133" t="s">
        <v>65</v>
      </c>
      <c r="B133">
        <f>IFERROR(EPRI_PI2026!$F$24,0)</f>
        <v>106</v>
      </c>
      <c r="C133">
        <f t="shared" ref="C133:H142" si="14">B133*(1+$AC133)</f>
        <v>154.91909144335739</v>
      </c>
      <c r="D133">
        <f t="shared" si="14"/>
        <v>226.41438578901253</v>
      </c>
      <c r="E133">
        <f t="shared" si="14"/>
        <v>330.90482015226064</v>
      </c>
      <c r="F133">
        <f t="shared" si="14"/>
        <v>483.61768011524339</v>
      </c>
      <c r="G133">
        <f t="shared" si="14"/>
        <v>706.80765669243158</v>
      </c>
      <c r="H133">
        <f t="shared" si="14"/>
        <v>1032.9999999999995</v>
      </c>
      <c r="I133">
        <f>H133*(1+$AC133/Keys!$C$7^ROUNDUP((I$112-Keys!$C$6)/Keys!$C$8,0))</f>
        <v>1152.1825977853489</v>
      </c>
      <c r="J133">
        <f>I133*(1+$AC133/Keys!$C$7^ROUNDUP((J$112-Keys!$C$6)/Keys!$C$8,0))</f>
        <v>1285.1159134940906</v>
      </c>
      <c r="K133">
        <f>J133*(1+$AC133/Keys!$C$7^ROUNDUP((K$112-Keys!$C$6)/Keys!$C$8,0))</f>
        <v>1433.38643917223</v>
      </c>
      <c r="L133">
        <f>K133*(1+$AC133/Keys!$C$7^ROUNDUP((L$112-Keys!$C$6)/Keys!$C$8,0))</f>
        <v>1598.7637087277365</v>
      </c>
      <c r="M133">
        <f>L133*(1+$AC133/Keys!$C$7^ROUNDUP((M$112-Keys!$C$6)/Keys!$C$8,0))</f>
        <v>1783.2214164248433</v>
      </c>
      <c r="N133">
        <f>M133*(1+$AC133/Keys!$C$7^ROUNDUP((N$112-Keys!$C$6)/Keys!$C$8,0))</f>
        <v>1834.6563053009284</v>
      </c>
      <c r="O133">
        <f>N133*(1+$AC133/Keys!$C$7^ROUNDUP((O$112-Keys!$C$6)/Keys!$C$8,0))</f>
        <v>1887.5747720262518</v>
      </c>
      <c r="P133">
        <f>O133*(1+$AC133/Keys!$C$7^ROUNDUP((P$112-Keys!$C$6)/Keys!$C$8,0))</f>
        <v>1942.0196086293927</v>
      </c>
      <c r="Q133">
        <f>P133*(1+$AC133/Keys!$C$7^ROUNDUP((Q$112-Keys!$C$6)/Keys!$C$8,0))</f>
        <v>1998.0348414238117</v>
      </c>
      <c r="R133">
        <f>Q133*(1+$AC133/Keys!$C$7^ROUNDUP((R$112-Keys!$C$6)/Keys!$C$8,0))</f>
        <v>2055.665766609322</v>
      </c>
      <c r="S133">
        <f>R133*(1+$AC133/Keys!$C$7^ROUNDUP((S$112-Keys!$C$6)/Keys!$C$8,0))</f>
        <v>2070.4890716821019</v>
      </c>
      <c r="T133">
        <f>S133*(1+$AC133/Keys!$C$7^ROUNDUP((T$112-Keys!$C$6)/Keys!$C$8,0))</f>
        <v>2085.4192668811124</v>
      </c>
      <c r="U133">
        <f>T133*(1+$AC133/Keys!$C$7^ROUNDUP((U$112-Keys!$C$6)/Keys!$C$8,0))</f>
        <v>2100.4571229858138</v>
      </c>
      <c r="V133">
        <f>U133*(1+$AC133/Keys!$C$7^ROUNDUP((V$112-Keys!$C$6)/Keys!$C$8,0))</f>
        <v>2115.6034163337195</v>
      </c>
      <c r="W133">
        <f>V133*(1+$AC133/Keys!$C$7^ROUNDUP((W$112-Keys!$C$6)/Keys!$C$8,0))</f>
        <v>2130.8589288604744</v>
      </c>
      <c r="X133">
        <f>W133*(1+$AC133/Keys!$C$7^ROUNDUP((X$112-Keys!$C$6)/Keys!$C$8,0))</f>
        <v>2134.7003086804116</v>
      </c>
      <c r="Y133">
        <f>X133*(1+$AC133/Keys!$C$7^ROUNDUP((Y$112-Keys!$C$6)/Keys!$C$8,0))</f>
        <v>2138.5486135007422</v>
      </c>
      <c r="Z133">
        <f>Y133*(1+$AC133/Keys!$C$7^ROUNDUP((Z$112-Keys!$C$6)/Keys!$C$8,0))</f>
        <v>2142.4038558054262</v>
      </c>
      <c r="AA133">
        <f>Z133*(1+$AC133/Keys!$C$7^ROUNDUP((AA$112-Keys!$C$6)/Keys!$C$8,0))</f>
        <v>2146.2660481009284</v>
      </c>
      <c r="AB133">
        <f>AA133*(1+$AC133/Keys!$C$7^ROUNDUP((AB$112-Keys!$C$6)/Keys!$C$8,0))</f>
        <v>2150.1352029162595</v>
      </c>
      <c r="AC133">
        <f>IFERROR((EPRI_PI2026!$J$24/EPRI_PI2026!$F$24)^(1/6)-1,0)</f>
        <v>0.46150086267318291</v>
      </c>
    </row>
    <row r="134" spans="1:29" x14ac:dyDescent="0.45">
      <c r="A134" t="s">
        <v>67</v>
      </c>
      <c r="B134">
        <f>IFERROR(EPRI_PI2026!$F$25,0)</f>
        <v>46</v>
      </c>
      <c r="C134">
        <f t="shared" si="14"/>
        <v>84.52017821802049</v>
      </c>
      <c r="D134">
        <f t="shared" si="14"/>
        <v>155.29696795665097</v>
      </c>
      <c r="E134">
        <f t="shared" si="14"/>
        <v>285.34190018292082</v>
      </c>
      <c r="F134">
        <f t="shared" si="14"/>
        <v>524.28583166367571</v>
      </c>
      <c r="G134">
        <f t="shared" si="14"/>
        <v>963.32025933471652</v>
      </c>
      <c r="H134">
        <f t="shared" si="14"/>
        <v>1769.9999999999991</v>
      </c>
      <c r="I134">
        <f>H134*(1+$AC134/Keys!$C$7^ROUNDUP((I$112-Keys!$C$6)/Keys!$C$8,0))</f>
        <v>2140.5473665537829</v>
      </c>
      <c r="J134">
        <f>I134*(1+$AC134/Keys!$C$7^ROUNDUP((J$112-Keys!$C$6)/Keys!$C$8,0))</f>
        <v>2588.6683776612072</v>
      </c>
      <c r="K134">
        <f>J134*(1+$AC134/Keys!$C$7^ROUNDUP((K$112-Keys!$C$6)/Keys!$C$8,0))</f>
        <v>3130.6029823072049</v>
      </c>
      <c r="L134">
        <f>K134*(1+$AC134/Keys!$C$7^ROUNDUP((L$112-Keys!$C$6)/Keys!$C$8,0))</f>
        <v>3785.9909432220957</v>
      </c>
      <c r="M134">
        <f>L134*(1+$AC134/Keys!$C$7^ROUNDUP((M$112-Keys!$C$6)/Keys!$C$8,0))</f>
        <v>4578.5835837912618</v>
      </c>
      <c r="N134">
        <f>M134*(1+$AC134/Keys!$C$7^ROUNDUP((N$112-Keys!$C$6)/Keys!$C$8,0))</f>
        <v>4818.2138224240643</v>
      </c>
      <c r="O134">
        <f>N134*(1+$AC134/Keys!$C$7^ROUNDUP((O$112-Keys!$C$6)/Keys!$C$8,0))</f>
        <v>5070.3856364625226</v>
      </c>
      <c r="P134">
        <f>O134*(1+$AC134/Keys!$C$7^ROUNDUP((P$112-Keys!$C$6)/Keys!$C$8,0))</f>
        <v>5335.7554168302231</v>
      </c>
      <c r="Q134">
        <f>P134*(1+$AC134/Keys!$C$7^ROUNDUP((Q$112-Keys!$C$6)/Keys!$C$8,0))</f>
        <v>5615.0139081129255</v>
      </c>
      <c r="R134">
        <f>Q134*(1+$AC134/Keys!$C$7^ROUNDUP((R$112-Keys!$C$6)/Keys!$C$8,0))</f>
        <v>5908.8880065329986</v>
      </c>
      <c r="S134">
        <f>R134*(1+$AC134/Keys!$C$7^ROUNDUP((S$112-Keys!$C$6)/Keys!$C$8,0))</f>
        <v>5986.2016679059516</v>
      </c>
      <c r="T134">
        <f>S134*(1+$AC134/Keys!$C$7^ROUNDUP((T$112-Keys!$C$6)/Keys!$C$8,0))</f>
        <v>6064.5269243926186</v>
      </c>
      <c r="U134">
        <f>T134*(1+$AC134/Keys!$C$7^ROUNDUP((U$112-Keys!$C$6)/Keys!$C$8,0))</f>
        <v>6143.8770120066083</v>
      </c>
      <c r="V134">
        <f>U134*(1+$AC134/Keys!$C$7^ROUNDUP((V$112-Keys!$C$6)/Keys!$C$8,0))</f>
        <v>6224.2653399454985</v>
      </c>
      <c r="W134">
        <f>V134*(1+$AC134/Keys!$C$7^ROUNDUP((W$112-Keys!$C$6)/Keys!$C$8,0))</f>
        <v>6305.7054928568259</v>
      </c>
      <c r="X134">
        <f>W134*(1+$AC134/Keys!$C$7^ROUNDUP((X$112-Keys!$C$6)/Keys!$C$8,0))</f>
        <v>6326.3319279260513</v>
      </c>
      <c r="Y134">
        <f>X134*(1+$AC134/Keys!$C$7^ROUNDUP((Y$112-Keys!$C$6)/Keys!$C$8,0))</f>
        <v>6347.0258336096504</v>
      </c>
      <c r="Z134">
        <f>Y134*(1+$AC134/Keys!$C$7^ROUNDUP((Z$112-Keys!$C$6)/Keys!$C$8,0))</f>
        <v>6367.787430609058</v>
      </c>
      <c r="AA134">
        <f>Z134*(1+$AC134/Keys!$C$7^ROUNDUP((AA$112-Keys!$C$6)/Keys!$C$8,0))</f>
        <v>6388.6169403476397</v>
      </c>
      <c r="AB134">
        <f>AA134*(1+$AC134/Keys!$C$7^ROUNDUP((AB$112-Keys!$C$6)/Keys!$C$8,0))</f>
        <v>6409.5145849730525</v>
      </c>
      <c r="AC134">
        <f>IFERROR((EPRI_PI2026!$J$25/EPRI_PI2026!$F$25)^(1/6)-1,0)</f>
        <v>0.83739517865261925</v>
      </c>
    </row>
    <row r="135" spans="1:29" x14ac:dyDescent="0.45">
      <c r="A135" t="s">
        <v>69</v>
      </c>
      <c r="B135">
        <f>IFERROR(EPRI_PI2026!$F$26,0)</f>
        <v>224</v>
      </c>
      <c r="C135">
        <f t="shared" si="14"/>
        <v>274.34285119171591</v>
      </c>
      <c r="D135">
        <f t="shared" si="14"/>
        <v>335.99999999999994</v>
      </c>
      <c r="E135">
        <f t="shared" si="14"/>
        <v>411.51427678757381</v>
      </c>
      <c r="F135">
        <f t="shared" si="14"/>
        <v>503.99999999999983</v>
      </c>
      <c r="G135">
        <f t="shared" si="14"/>
        <v>617.27141518136057</v>
      </c>
      <c r="H135">
        <f t="shared" si="14"/>
        <v>755.99999999999955</v>
      </c>
      <c r="I135">
        <f>H135*(1+$AC135/Keys!$C$7^ROUNDUP((I$112-Keys!$C$6)/Keys!$C$8,0))</f>
        <v>798.47678069300991</v>
      </c>
      <c r="J135">
        <f>I135*(1+$AC135/Keys!$C$7^ROUNDUP((J$112-Keys!$C$6)/Keys!$C$8,0))</f>
        <v>843.3401710395151</v>
      </c>
      <c r="K135">
        <f>J135*(1+$AC135/Keys!$C$7^ROUNDUP((K$112-Keys!$C$6)/Keys!$C$8,0))</f>
        <v>890.72426560942426</v>
      </c>
      <c r="L135">
        <f>K135*(1+$AC135/Keys!$C$7^ROUNDUP((L$112-Keys!$C$6)/Keys!$C$8,0))</f>
        <v>940.77069323936371</v>
      </c>
      <c r="M135">
        <f>L135*(1+$AC135/Keys!$C$7^ROUNDUP((M$112-Keys!$C$6)/Keys!$C$8,0))</f>
        <v>993.62904035462805</v>
      </c>
      <c r="N135">
        <f>M135*(1+$AC135/Keys!$C$7^ROUNDUP((N$112-Keys!$C$6)/Keys!$C$8,0))</f>
        <v>1007.5861047849686</v>
      </c>
      <c r="O135">
        <f>N135*(1+$AC135/Keys!$C$7^ROUNDUP((O$112-Keys!$C$6)/Keys!$C$8,0))</f>
        <v>1021.7392178809592</v>
      </c>
      <c r="P135">
        <f>O135*(1+$AC135/Keys!$C$7^ROUNDUP((P$112-Keys!$C$6)/Keys!$C$8,0))</f>
        <v>1036.0911334508592</v>
      </c>
      <c r="Q135">
        <f>P135*(1+$AC135/Keys!$C$7^ROUNDUP((Q$112-Keys!$C$6)/Keys!$C$8,0))</f>
        <v>1050.6446439844453</v>
      </c>
      <c r="R135">
        <f>Q135*(1+$AC135/Keys!$C$7^ROUNDUP((R$112-Keys!$C$6)/Keys!$C$8,0))</f>
        <v>1065.4025811963545</v>
      </c>
      <c r="S135">
        <f>R135*(1+$AC135/Keys!$C$7^ROUNDUP((S$112-Keys!$C$6)/Keys!$C$8,0))</f>
        <v>1069.1438900415303</v>
      </c>
      <c r="T135">
        <f>S135*(1+$AC135/Keys!$C$7^ROUNDUP((T$112-Keys!$C$6)/Keys!$C$8,0))</f>
        <v>1072.8983370113192</v>
      </c>
      <c r="U135">
        <f>T135*(1+$AC135/Keys!$C$7^ROUNDUP((U$112-Keys!$C$6)/Keys!$C$8,0))</f>
        <v>1076.665968242067</v>
      </c>
      <c r="V135">
        <f>U135*(1+$AC135/Keys!$C$7^ROUNDUP((V$112-Keys!$C$6)/Keys!$C$8,0))</f>
        <v>1080.4468300321337</v>
      </c>
      <c r="W135">
        <f>V135*(1+$AC135/Keys!$C$7^ROUNDUP((W$112-Keys!$C$6)/Keys!$C$8,0))</f>
        <v>1084.2409688424623</v>
      </c>
      <c r="X135">
        <f>W135*(1+$AC135/Keys!$C$7^ROUNDUP((X$112-Keys!$C$6)/Keys!$C$8,0))</f>
        <v>1085.1928344561341</v>
      </c>
      <c r="Y135">
        <f>X135*(1+$AC135/Keys!$C$7^ROUNDUP((Y$112-Keys!$C$6)/Keys!$C$8,0))</f>
        <v>1086.1455357218172</v>
      </c>
      <c r="Z135">
        <f>Y135*(1+$AC135/Keys!$C$7^ROUNDUP((Z$112-Keys!$C$6)/Keys!$C$8,0))</f>
        <v>1087.0990733731387</v>
      </c>
      <c r="AA135">
        <f>Z135*(1+$AC135/Keys!$C$7^ROUNDUP((AA$112-Keys!$C$6)/Keys!$C$8,0))</f>
        <v>1088.0534481443697</v>
      </c>
      <c r="AB135">
        <f>AA135*(1+$AC135/Keys!$C$7^ROUNDUP((AB$112-Keys!$C$6)/Keys!$C$8,0))</f>
        <v>1089.0086607704259</v>
      </c>
      <c r="AC135">
        <f>IFERROR((EPRI_PI2026!$J$26/EPRI_PI2026!$F$26)^(1/6)-1,0)</f>
        <v>0.22474487139158894</v>
      </c>
    </row>
    <row r="136" spans="1:29" x14ac:dyDescent="0.45">
      <c r="A136" t="s">
        <v>71</v>
      </c>
      <c r="B136">
        <f>IFERROR(EPRI_PI2026!$F$27,0)</f>
        <v>106</v>
      </c>
      <c r="C136">
        <f t="shared" si="14"/>
        <v>107.44953188421484</v>
      </c>
      <c r="D136">
        <f t="shared" si="14"/>
        <v>108.91888586921604</v>
      </c>
      <c r="E136">
        <f t="shared" si="14"/>
        <v>110.4083330188442</v>
      </c>
      <c r="F136">
        <f t="shared" si="14"/>
        <v>111.91814810369161</v>
      </c>
      <c r="G136">
        <f t="shared" si="14"/>
        <v>113.44860965179141</v>
      </c>
      <c r="H136">
        <f t="shared" si="14"/>
        <v>115.00000000000004</v>
      </c>
      <c r="I136">
        <f>H136*(1+$AC136/Keys!$C$7^ROUNDUP((I$112-Keys!$C$6)/Keys!$C$8,0))</f>
        <v>115.39315133652059</v>
      </c>
      <c r="J136">
        <f>I136*(1+$AC136/Keys!$C$7^ROUNDUP((J$112-Keys!$C$6)/Keys!$C$8,0))</f>
        <v>115.78764674237512</v>
      </c>
      <c r="K136">
        <f>J136*(1+$AC136/Keys!$C$7^ROUNDUP((K$112-Keys!$C$6)/Keys!$C$8,0))</f>
        <v>116.18349081254323</v>
      </c>
      <c r="L136">
        <f>K136*(1+$AC136/Keys!$C$7^ROUNDUP((L$112-Keys!$C$6)/Keys!$C$8,0))</f>
        <v>116.58068815771342</v>
      </c>
      <c r="M136">
        <f>L136*(1+$AC136/Keys!$C$7^ROUNDUP((M$112-Keys!$C$6)/Keys!$C$8,0))</f>
        <v>116.97924340433681</v>
      </c>
      <c r="N136">
        <f>M136*(1+$AC136/Keys!$C$7^ROUNDUP((N$112-Keys!$C$6)/Keys!$C$8,0))</f>
        <v>117.07922285192285</v>
      </c>
      <c r="O136">
        <f>N136*(1+$AC136/Keys!$C$7^ROUNDUP((O$112-Keys!$C$6)/Keys!$C$8,0))</f>
        <v>117.17928774962506</v>
      </c>
      <c r="P136">
        <f>O136*(1+$AC136/Keys!$C$7^ROUNDUP((P$112-Keys!$C$6)/Keys!$C$8,0))</f>
        <v>117.27943817047569</v>
      </c>
      <c r="Q136">
        <f>P136*(1+$AC136/Keys!$C$7^ROUNDUP((Q$112-Keys!$C$6)/Keys!$C$8,0))</f>
        <v>117.37967418756938</v>
      </c>
      <c r="R136">
        <f>Q136*(1+$AC136/Keys!$C$7^ROUNDUP((R$112-Keys!$C$6)/Keys!$C$8,0))</f>
        <v>117.47999587406326</v>
      </c>
      <c r="S136">
        <f>R136*(1+$AC136/Keys!$C$7^ROUNDUP((S$112-Keys!$C$6)/Keys!$C$8,0))</f>
        <v>117.50509773134168</v>
      </c>
      <c r="T136">
        <f>S136*(1+$AC136/Keys!$C$7^ROUNDUP((T$112-Keys!$C$6)/Keys!$C$8,0))</f>
        <v>117.53020495211398</v>
      </c>
      <c r="U136">
        <f>T136*(1+$AC136/Keys!$C$7^ROUNDUP((U$112-Keys!$C$6)/Keys!$C$8,0))</f>
        <v>117.55531753752616</v>
      </c>
      <c r="V136">
        <f>U136*(1+$AC136/Keys!$C$7^ROUNDUP((V$112-Keys!$C$6)/Keys!$C$8,0))</f>
        <v>117.5804354887245</v>
      </c>
      <c r="W136">
        <f>V136*(1+$AC136/Keys!$C$7^ROUNDUP((W$112-Keys!$C$6)/Keys!$C$8,0))</f>
        <v>117.6055588068555</v>
      </c>
      <c r="X136">
        <f>W136*(1+$AC136/Keys!$C$7^ROUNDUP((X$112-Keys!$C$6)/Keys!$C$8,0))</f>
        <v>117.61184097840811</v>
      </c>
      <c r="Y136">
        <f>X136*(1+$AC136/Keys!$C$7^ROUNDUP((Y$112-Keys!$C$6)/Keys!$C$8,0))</f>
        <v>117.61812348553737</v>
      </c>
      <c r="Z136">
        <f>Y136*(1+$AC136/Keys!$C$7^ROUNDUP((Z$112-Keys!$C$6)/Keys!$C$8,0))</f>
        <v>117.6244063282612</v>
      </c>
      <c r="AA136">
        <f>Z136*(1+$AC136/Keys!$C$7^ROUNDUP((AA$112-Keys!$C$6)/Keys!$C$8,0))</f>
        <v>117.63068950659753</v>
      </c>
      <c r="AB136">
        <f>AA136*(1+$AC136/Keys!$C$7^ROUNDUP((AB$112-Keys!$C$6)/Keys!$C$8,0))</f>
        <v>117.6369730205643</v>
      </c>
      <c r="AC136">
        <f>IFERROR((EPRI_PI2026!$J$27/EPRI_PI2026!$F$27)^(1/6)-1,0)</f>
        <v>1.3674829096366414E-2</v>
      </c>
    </row>
    <row r="137" spans="1:29" x14ac:dyDescent="0.45">
      <c r="A137" t="s">
        <v>73</v>
      </c>
      <c r="B137">
        <f>IFERROR(EPRI_PI2026!$F$28,0)</f>
        <v>1021</v>
      </c>
      <c r="C137">
        <f t="shared" si="14"/>
        <v>1093.7442244967278</v>
      </c>
      <c r="D137">
        <f t="shared" si="14"/>
        <v>1171.6713306757576</v>
      </c>
      <c r="E137">
        <f t="shared" si="14"/>
        <v>1255.1505885749323</v>
      </c>
      <c r="F137">
        <f t="shared" si="14"/>
        <v>1344.5775779897169</v>
      </c>
      <c r="G137">
        <f t="shared" si="14"/>
        <v>1440.3760629912356</v>
      </c>
      <c r="H137">
        <f t="shared" si="14"/>
        <v>1542.9999999999991</v>
      </c>
      <c r="I137">
        <f>H137*(1+$AC137/Keys!$C$7^ROUNDUP((I$112-Keys!$C$6)/Keys!$C$8,0))</f>
        <v>1570.4839222327246</v>
      </c>
      <c r="J137">
        <f>I137*(1+$AC137/Keys!$C$7^ROUNDUP((J$112-Keys!$C$6)/Keys!$C$8,0))</f>
        <v>1598.4573881992767</v>
      </c>
      <c r="K137">
        <f>J137*(1+$AC137/Keys!$C$7^ROUNDUP((K$112-Keys!$C$6)/Keys!$C$8,0))</f>
        <v>1626.9291176546199</v>
      </c>
      <c r="L137">
        <f>K137*(1+$AC137/Keys!$C$7^ROUNDUP((L$112-Keys!$C$6)/Keys!$C$8,0))</f>
        <v>1655.9079856700289</v>
      </c>
      <c r="M137">
        <f>L137*(1+$AC137/Keys!$C$7^ROUNDUP((M$112-Keys!$C$6)/Keys!$C$8,0))</f>
        <v>1685.4030253995843</v>
      </c>
      <c r="N137">
        <f>M137*(1+$AC137/Keys!$C$7^ROUNDUP((N$112-Keys!$C$6)/Keys!$C$8,0))</f>
        <v>1692.9081267736742</v>
      </c>
      <c r="O137">
        <f>N137*(1+$AC137/Keys!$C$7^ROUNDUP((O$112-Keys!$C$6)/Keys!$C$8,0))</f>
        <v>1700.446648371762</v>
      </c>
      <c r="P137">
        <f>O137*(1+$AC137/Keys!$C$7^ROUNDUP((P$112-Keys!$C$6)/Keys!$C$8,0))</f>
        <v>1708.0187390141386</v>
      </c>
      <c r="Q137">
        <f>P137*(1+$AC137/Keys!$C$7^ROUNDUP((Q$112-Keys!$C$6)/Keys!$C$8,0))</f>
        <v>1715.6245481837925</v>
      </c>
      <c r="R137">
        <f>Q137*(1+$AC137/Keys!$C$7^ROUNDUP((R$112-Keys!$C$6)/Keys!$C$8,0))</f>
        <v>1723.2642260293594</v>
      </c>
      <c r="S137">
        <f>R137*(1+$AC137/Keys!$C$7^ROUNDUP((S$112-Keys!$C$6)/Keys!$C$8,0))</f>
        <v>1725.1826503640416</v>
      </c>
      <c r="T137">
        <f>S137*(1+$AC137/Keys!$C$7^ROUNDUP((T$112-Keys!$C$6)/Keys!$C$8,0))</f>
        <v>1727.1032103850987</v>
      </c>
      <c r="U137">
        <f>T137*(1+$AC137/Keys!$C$7^ROUNDUP((U$112-Keys!$C$6)/Keys!$C$8,0))</f>
        <v>1729.025908470084</v>
      </c>
      <c r="V137">
        <f>U137*(1+$AC137/Keys!$C$7^ROUNDUP((V$112-Keys!$C$6)/Keys!$C$8,0))</f>
        <v>1730.9507469991979</v>
      </c>
      <c r="W137">
        <f>V137*(1+$AC137/Keys!$C$7^ROUNDUP((W$112-Keys!$C$6)/Keys!$C$8,0))</f>
        <v>1732.8777283552902</v>
      </c>
      <c r="X137">
        <f>W137*(1+$AC137/Keys!$C$7^ROUNDUP((X$112-Keys!$C$6)/Keys!$C$8,0))</f>
        <v>1733.3600099974335</v>
      </c>
      <c r="Y137">
        <f>X137*(1+$AC137/Keys!$C$7^ROUNDUP((Y$112-Keys!$C$6)/Keys!$C$8,0))</f>
        <v>1733.8424258646169</v>
      </c>
      <c r="Z137">
        <f>Y137*(1+$AC137/Keys!$C$7^ROUNDUP((Z$112-Keys!$C$6)/Keys!$C$8,0))</f>
        <v>1734.3249759941966</v>
      </c>
      <c r="AA137">
        <f>Z137*(1+$AC137/Keys!$C$7^ROUNDUP((AA$112-Keys!$C$6)/Keys!$C$8,0))</f>
        <v>1734.8076604235398</v>
      </c>
      <c r="AB137">
        <f>AA137*(1+$AC137/Keys!$C$7^ROUNDUP((AB$112-Keys!$C$6)/Keys!$C$8,0))</f>
        <v>1735.2904791900237</v>
      </c>
      <c r="AC137">
        <f>IFERROR((EPRI_PI2026!$J$28/EPRI_PI2026!$F$28)^(1/6)-1,0)</f>
        <v>7.1248016157422045E-2</v>
      </c>
    </row>
    <row r="138" spans="1:29" x14ac:dyDescent="0.45">
      <c r="A138" t="s">
        <v>75</v>
      </c>
      <c r="B138">
        <f>IFERROR(EPRI_PI2026!$F$29,0)</f>
        <v>866</v>
      </c>
      <c r="C138">
        <f t="shared" si="14"/>
        <v>1113.9084750404372</v>
      </c>
      <c r="D138">
        <f t="shared" si="14"/>
        <v>1432.7853242112153</v>
      </c>
      <c r="E138">
        <f t="shared" si="14"/>
        <v>1842.9465537556966</v>
      </c>
      <c r="F138">
        <f t="shared" si="14"/>
        <v>2370.5240014723295</v>
      </c>
      <c r="G138">
        <f t="shared" si="14"/>
        <v>3049.1302257815219</v>
      </c>
      <c r="H138">
        <f t="shared" si="14"/>
        <v>3921.9999999999991</v>
      </c>
      <c r="I138">
        <f>H138*(1+$AC138/Keys!$C$7^ROUNDUP((I$112-Keys!$C$6)/Keys!$C$8,0))</f>
        <v>4202.6862122137964</v>
      </c>
      <c r="J138">
        <f>I138*(1+$AC138/Keys!$C$7^ROUNDUP((J$112-Keys!$C$6)/Keys!$C$8,0))</f>
        <v>4503.460325938795</v>
      </c>
      <c r="K138">
        <f>J138*(1+$AC138/Keys!$C$7^ROUNDUP((K$112-Keys!$C$6)/Keys!$C$8,0))</f>
        <v>4825.7599742669117</v>
      </c>
      <c r="L138">
        <f>K138*(1+$AC138/Keys!$C$7^ROUNDUP((L$112-Keys!$C$6)/Keys!$C$8,0))</f>
        <v>5171.1256775381844</v>
      </c>
      <c r="M138">
        <f>L138*(1+$AC138/Keys!$C$7^ROUNDUP((M$112-Keys!$C$6)/Keys!$C$8,0))</f>
        <v>5541.2082066839521</v>
      </c>
      <c r="N138">
        <f>M138*(1+$AC138/Keys!$C$7^ROUNDUP((N$112-Keys!$C$6)/Keys!$C$8,0))</f>
        <v>5640.3502733987743</v>
      </c>
      <c r="O138">
        <f>N138*(1+$AC138/Keys!$C$7^ROUNDUP((O$112-Keys!$C$6)/Keys!$C$8,0))</f>
        <v>5741.266167955082</v>
      </c>
      <c r="P138">
        <f>O138*(1+$AC138/Keys!$C$7^ROUNDUP((P$112-Keys!$C$6)/Keys!$C$8,0))</f>
        <v>5843.9876272867068</v>
      </c>
      <c r="Q138">
        <f>P138*(1+$AC138/Keys!$C$7^ROUNDUP((Q$112-Keys!$C$6)/Keys!$C$8,0))</f>
        <v>5948.5469561576529</v>
      </c>
      <c r="R138">
        <f>Q138*(1+$AC138/Keys!$C$7^ROUNDUP((R$112-Keys!$C$6)/Keys!$C$8,0))</f>
        <v>6054.9770373215879</v>
      </c>
      <c r="S138">
        <f>R138*(1+$AC138/Keys!$C$7^ROUNDUP((S$112-Keys!$C$6)/Keys!$C$8,0))</f>
        <v>6082.0606134569671</v>
      </c>
      <c r="T138">
        <f>S138*(1+$AC138/Keys!$C$7^ROUNDUP((T$112-Keys!$C$6)/Keys!$C$8,0))</f>
        <v>6109.2653329248087</v>
      </c>
      <c r="U138">
        <f>T138*(1+$AC138/Keys!$C$7^ROUNDUP((U$112-Keys!$C$6)/Keys!$C$8,0))</f>
        <v>6136.5917375925128</v>
      </c>
      <c r="V138">
        <f>U138*(1+$AC138/Keys!$C$7^ROUNDUP((V$112-Keys!$C$6)/Keys!$C$8,0))</f>
        <v>6164.0403717512227</v>
      </c>
      <c r="W138">
        <f>V138*(1+$AC138/Keys!$C$7^ROUNDUP((W$112-Keys!$C$6)/Keys!$C$8,0))</f>
        <v>6191.6117821266653</v>
      </c>
      <c r="X138">
        <f>W138*(1+$AC138/Keys!$C$7^ROUNDUP((X$112-Keys!$C$6)/Keys!$C$8,0))</f>
        <v>6198.5354660675093</v>
      </c>
      <c r="Y138">
        <f>X138*(1+$AC138/Keys!$C$7^ROUNDUP((Y$112-Keys!$C$6)/Keys!$C$8,0))</f>
        <v>6205.4668923218251</v>
      </c>
      <c r="Z138">
        <f>Y138*(1+$AC138/Keys!$C$7^ROUNDUP((Z$112-Keys!$C$6)/Keys!$C$8,0))</f>
        <v>6212.4060695473472</v>
      </c>
      <c r="AA138">
        <f>Z138*(1+$AC138/Keys!$C$7^ROUNDUP((AA$112-Keys!$C$6)/Keys!$C$8,0))</f>
        <v>6219.3530064114912</v>
      </c>
      <c r="AB138">
        <f>AA138*(1+$AC138/Keys!$C$7^ROUNDUP((AB$112-Keys!$C$6)/Keys!$C$8,0))</f>
        <v>6226.3077115913657</v>
      </c>
      <c r="AC138">
        <f>IFERROR((EPRI_PI2026!$J$29/EPRI_PI2026!$F$29)^(1/6)-1,0)</f>
        <v>0.2862684469289114</v>
      </c>
    </row>
    <row r="139" spans="1:29" x14ac:dyDescent="0.45">
      <c r="A139" t="s">
        <v>77</v>
      </c>
      <c r="B139">
        <f>IFERROR(EPRI_PI2026!$F$30,0)</f>
        <v>4</v>
      </c>
      <c r="C139">
        <f t="shared" si="14"/>
        <v>4</v>
      </c>
      <c r="D139">
        <f t="shared" si="14"/>
        <v>4</v>
      </c>
      <c r="E139">
        <f t="shared" si="14"/>
        <v>4</v>
      </c>
      <c r="F139">
        <f t="shared" si="14"/>
        <v>4</v>
      </c>
      <c r="G139">
        <f t="shared" si="14"/>
        <v>4</v>
      </c>
      <c r="H139">
        <f t="shared" si="14"/>
        <v>4</v>
      </c>
      <c r="I139">
        <f>H139*(1+$AC139/Keys!$C$7^ROUNDUP((I$112-Keys!$C$6)/Keys!$C$8,0))</f>
        <v>4</v>
      </c>
      <c r="J139">
        <f>I139*(1+$AC139/Keys!$C$7^ROUNDUP((J$112-Keys!$C$6)/Keys!$C$8,0))</f>
        <v>4</v>
      </c>
      <c r="K139">
        <f>J139*(1+$AC139/Keys!$C$7^ROUNDUP((K$112-Keys!$C$6)/Keys!$C$8,0))</f>
        <v>4</v>
      </c>
      <c r="L139">
        <f>K139*(1+$AC139/Keys!$C$7^ROUNDUP((L$112-Keys!$C$6)/Keys!$C$8,0))</f>
        <v>4</v>
      </c>
      <c r="M139">
        <f>L139*(1+$AC139/Keys!$C$7^ROUNDUP((M$112-Keys!$C$6)/Keys!$C$8,0))</f>
        <v>4</v>
      </c>
      <c r="N139">
        <f>M139*(1+$AC139/Keys!$C$7^ROUNDUP((N$112-Keys!$C$6)/Keys!$C$8,0))</f>
        <v>4</v>
      </c>
      <c r="O139">
        <f>N139*(1+$AC139/Keys!$C$7^ROUNDUP((O$112-Keys!$C$6)/Keys!$C$8,0))</f>
        <v>4</v>
      </c>
      <c r="P139">
        <f>O139*(1+$AC139/Keys!$C$7^ROUNDUP((P$112-Keys!$C$6)/Keys!$C$8,0))</f>
        <v>4</v>
      </c>
      <c r="Q139">
        <f>P139*(1+$AC139/Keys!$C$7^ROUNDUP((Q$112-Keys!$C$6)/Keys!$C$8,0))</f>
        <v>4</v>
      </c>
      <c r="R139">
        <f>Q139*(1+$AC139/Keys!$C$7^ROUNDUP((R$112-Keys!$C$6)/Keys!$C$8,0))</f>
        <v>4</v>
      </c>
      <c r="S139">
        <f>R139*(1+$AC139/Keys!$C$7^ROUNDUP((S$112-Keys!$C$6)/Keys!$C$8,0))</f>
        <v>4</v>
      </c>
      <c r="T139">
        <f>S139*(1+$AC139/Keys!$C$7^ROUNDUP((T$112-Keys!$C$6)/Keys!$C$8,0))</f>
        <v>4</v>
      </c>
      <c r="U139">
        <f>T139*(1+$AC139/Keys!$C$7^ROUNDUP((U$112-Keys!$C$6)/Keys!$C$8,0))</f>
        <v>4</v>
      </c>
      <c r="V139">
        <f>U139*(1+$AC139/Keys!$C$7^ROUNDUP((V$112-Keys!$C$6)/Keys!$C$8,0))</f>
        <v>4</v>
      </c>
      <c r="W139">
        <f>V139*(1+$AC139/Keys!$C$7^ROUNDUP((W$112-Keys!$C$6)/Keys!$C$8,0))</f>
        <v>4</v>
      </c>
      <c r="X139">
        <f>W139*(1+$AC139/Keys!$C$7^ROUNDUP((X$112-Keys!$C$6)/Keys!$C$8,0))</f>
        <v>4</v>
      </c>
      <c r="Y139">
        <f>X139*(1+$AC139/Keys!$C$7^ROUNDUP((Y$112-Keys!$C$6)/Keys!$C$8,0))</f>
        <v>4</v>
      </c>
      <c r="Z139">
        <f>Y139*(1+$AC139/Keys!$C$7^ROUNDUP((Z$112-Keys!$C$6)/Keys!$C$8,0))</f>
        <v>4</v>
      </c>
      <c r="AA139">
        <f>Z139*(1+$AC139/Keys!$C$7^ROUNDUP((AA$112-Keys!$C$6)/Keys!$C$8,0))</f>
        <v>4</v>
      </c>
      <c r="AB139">
        <f>AA139*(1+$AC139/Keys!$C$7^ROUNDUP((AB$112-Keys!$C$6)/Keys!$C$8,0))</f>
        <v>4</v>
      </c>
      <c r="AC139">
        <f>IFERROR((EPRI_PI2026!$J$30/EPRI_PI2026!$F$30)^(1/6)-1,0)</f>
        <v>0</v>
      </c>
    </row>
    <row r="140" spans="1:29" x14ac:dyDescent="0.45">
      <c r="A140" t="s">
        <v>79</v>
      </c>
      <c r="B140">
        <f>IFERROR(EPRI_PI2026!$F$31,0)</f>
        <v>547</v>
      </c>
      <c r="C140">
        <f t="shared" si="14"/>
        <v>622.65469264146407</v>
      </c>
      <c r="D140">
        <f t="shared" si="14"/>
        <v>708.77306447611716</v>
      </c>
      <c r="E140">
        <f t="shared" si="14"/>
        <v>806.80233018999149</v>
      </c>
      <c r="F140">
        <f t="shared" si="14"/>
        <v>918.38986641108988</v>
      </c>
      <c r="G140">
        <f t="shared" si="14"/>
        <v>1045.410895786531</v>
      </c>
      <c r="H140">
        <f t="shared" si="14"/>
        <v>1190.0000000000002</v>
      </c>
      <c r="I140">
        <f>H140*(1+$AC140/Keys!$C$7^ROUNDUP((I$112-Keys!$C$6)/Keys!$C$8,0))</f>
        <v>1231.1467478260249</v>
      </c>
      <c r="J140">
        <f>I140*(1+$AC140/Keys!$C$7^ROUNDUP((J$112-Keys!$C$6)/Keys!$C$8,0))</f>
        <v>1273.7162308257123</v>
      </c>
      <c r="K140">
        <f>J140*(1+$AC140/Keys!$C$7^ROUNDUP((K$112-Keys!$C$6)/Keys!$C$8,0))</f>
        <v>1317.7576430540319</v>
      </c>
      <c r="L140">
        <f>K140*(1+$AC140/Keys!$C$7^ROUNDUP((L$112-Keys!$C$6)/Keys!$C$8,0))</f>
        <v>1363.3218795536629</v>
      </c>
      <c r="M140">
        <f>L140*(1+$AC140/Keys!$C$7^ROUNDUP((M$112-Keys!$C$6)/Keys!$C$8,0))</f>
        <v>1410.4615951702147</v>
      </c>
      <c r="N140">
        <f>M140*(1+$AC140/Keys!$C$7^ROUNDUP((N$112-Keys!$C$6)/Keys!$C$8,0))</f>
        <v>1422.6540127279377</v>
      </c>
      <c r="O140">
        <f>N140*(1+$AC140/Keys!$C$7^ROUNDUP((O$112-Keys!$C$6)/Keys!$C$8,0))</f>
        <v>1434.9518248929376</v>
      </c>
      <c r="P140">
        <f>O140*(1+$AC140/Keys!$C$7^ROUNDUP((P$112-Keys!$C$6)/Keys!$C$8,0))</f>
        <v>1447.3559427251569</v>
      </c>
      <c r="Q140">
        <f>P140*(1+$AC140/Keys!$C$7^ROUNDUP((Q$112-Keys!$C$6)/Keys!$C$8,0))</f>
        <v>1459.8672851599911</v>
      </c>
      <c r="R140">
        <f>Q140*(1+$AC140/Keys!$C$7^ROUNDUP((R$112-Keys!$C$6)/Keys!$C$8,0))</f>
        <v>1472.4867790763653</v>
      </c>
      <c r="S140">
        <f>R140*(1+$AC140/Keys!$C$7^ROUNDUP((S$112-Keys!$C$6)/Keys!$C$8,0))</f>
        <v>1475.6689241486242</v>
      </c>
      <c r="T140">
        <f>S140*(1+$AC140/Keys!$C$7^ROUNDUP((T$112-Keys!$C$6)/Keys!$C$8,0))</f>
        <v>1478.8579460549604</v>
      </c>
      <c r="U140">
        <f>T140*(1+$AC140/Keys!$C$7^ROUNDUP((U$112-Keys!$C$6)/Keys!$C$8,0))</f>
        <v>1482.0538596566848</v>
      </c>
      <c r="V140">
        <f>U140*(1+$AC140/Keys!$C$7^ROUNDUP((V$112-Keys!$C$6)/Keys!$C$8,0))</f>
        <v>1485.2566798472246</v>
      </c>
      <c r="W140">
        <f>V140*(1+$AC140/Keys!$C$7^ROUNDUP((W$112-Keys!$C$6)/Keys!$C$8,0))</f>
        <v>1488.4664215521925</v>
      </c>
      <c r="X140">
        <f>W140*(1+$AC140/Keys!$C$7^ROUNDUP((X$112-Keys!$C$6)/Keys!$C$8,0))</f>
        <v>1489.2705910965085</v>
      </c>
      <c r="Y140">
        <f>X140*(1+$AC140/Keys!$C$7^ROUNDUP((Y$112-Keys!$C$6)/Keys!$C$8,0))</f>
        <v>1490.07519510723</v>
      </c>
      <c r="Z140">
        <f>Y140*(1+$AC140/Keys!$C$7^ROUNDUP((Z$112-Keys!$C$6)/Keys!$C$8,0))</f>
        <v>1490.8802338190851</v>
      </c>
      <c r="AA140">
        <f>Z140*(1+$AC140/Keys!$C$7^ROUNDUP((AA$112-Keys!$C$6)/Keys!$C$8,0))</f>
        <v>1491.6857074669285</v>
      </c>
      <c r="AB140">
        <f>AA140*(1+$AC140/Keys!$C$7^ROUNDUP((AB$112-Keys!$C$6)/Keys!$C$8,0))</f>
        <v>1492.4916162857419</v>
      </c>
      <c r="AC140">
        <f>IFERROR((EPRI_PI2026!$J$31/EPRI_PI2026!$F$31)^(1/6)-1,0)</f>
        <v>0.13830839605386491</v>
      </c>
    </row>
    <row r="141" spans="1:29" x14ac:dyDescent="0.45">
      <c r="A141" t="s">
        <v>81</v>
      </c>
      <c r="B141">
        <f>IFERROR(EPRI_PI2026!$F$32,0)</f>
        <v>393</v>
      </c>
      <c r="C141">
        <f t="shared" si="14"/>
        <v>468.15581054028155</v>
      </c>
      <c r="D141">
        <f t="shared" si="14"/>
        <v>557.68412962500759</v>
      </c>
      <c r="E141">
        <f t="shared" si="14"/>
        <v>664.33350058536098</v>
      </c>
      <c r="F141">
        <f t="shared" si="14"/>
        <v>791.37808762239763</v>
      </c>
      <c r="G141">
        <f t="shared" si="14"/>
        <v>942.71819352336263</v>
      </c>
      <c r="H141">
        <f t="shared" si="14"/>
        <v>1122.9999999999995</v>
      </c>
      <c r="I141">
        <f>H141*(1+$AC141/Keys!$C$7^ROUNDUP((I$112-Keys!$C$6)/Keys!$C$8,0))</f>
        <v>1176.6895516773127</v>
      </c>
      <c r="J141">
        <f>I141*(1+$AC141/Keys!$C$7^ROUNDUP((J$112-Keys!$C$6)/Keys!$C$8,0))</f>
        <v>1232.9459492667459</v>
      </c>
      <c r="K141">
        <f>J141*(1+$AC141/Keys!$C$7^ROUNDUP((K$112-Keys!$C$6)/Keys!$C$8,0))</f>
        <v>1291.8919112066308</v>
      </c>
      <c r="L141">
        <f>K141*(1+$AC141/Keys!$C$7^ROUNDUP((L$112-Keys!$C$6)/Keys!$C$8,0))</f>
        <v>1353.6560229859997</v>
      </c>
      <c r="M141">
        <f>L141*(1+$AC141/Keys!$C$7^ROUNDUP((M$112-Keys!$C$6)/Keys!$C$8,0))</f>
        <v>1418.3730176426452</v>
      </c>
      <c r="N141">
        <f>M141*(1+$AC141/Keys!$C$7^ROUNDUP((N$112-Keys!$C$6)/Keys!$C$8,0))</f>
        <v>1435.325780649865</v>
      </c>
      <c r="O141">
        <f>N141*(1+$AC141/Keys!$C$7^ROUNDUP((O$112-Keys!$C$6)/Keys!$C$8,0))</f>
        <v>1452.4811674873497</v>
      </c>
      <c r="P141">
        <f>O141*(1+$AC141/Keys!$C$7^ROUNDUP((P$112-Keys!$C$6)/Keys!$C$8,0))</f>
        <v>1469.8415999677898</v>
      </c>
      <c r="Q141">
        <f>P141*(1+$AC141/Keys!$C$7^ROUNDUP((Q$112-Keys!$C$6)/Keys!$C$8,0))</f>
        <v>1487.4095288500105</v>
      </c>
      <c r="R141">
        <f>Q141*(1+$AC141/Keys!$C$7^ROUNDUP((R$112-Keys!$C$6)/Keys!$C$8,0))</f>
        <v>1505.1874341849439</v>
      </c>
      <c r="S141">
        <f>R141*(1+$AC141/Keys!$C$7^ROUNDUP((S$112-Keys!$C$6)/Keys!$C$8,0))</f>
        <v>1509.6850320551416</v>
      </c>
      <c r="T141">
        <f>S141*(1+$AC141/Keys!$C$7^ROUNDUP((T$112-Keys!$C$6)/Keys!$C$8,0))</f>
        <v>1514.1960690400585</v>
      </c>
      <c r="U141">
        <f>T141*(1+$AC141/Keys!$C$7^ROUNDUP((U$112-Keys!$C$6)/Keys!$C$8,0))</f>
        <v>1518.7205852966429</v>
      </c>
      <c r="V141">
        <f>U141*(1+$AC141/Keys!$C$7^ROUNDUP((V$112-Keys!$C$6)/Keys!$C$8,0))</f>
        <v>1523.2586211018343</v>
      </c>
      <c r="W141">
        <f>V141*(1+$AC141/Keys!$C$7^ROUNDUP((W$112-Keys!$C$6)/Keys!$C$8,0))</f>
        <v>1527.8102168529226</v>
      </c>
      <c r="X141">
        <f>W141*(1+$AC141/Keys!$C$7^ROUNDUP((X$112-Keys!$C$6)/Keys!$C$8,0))</f>
        <v>1528.9515159066691</v>
      </c>
      <c r="Y141">
        <f>X141*(1+$AC141/Keys!$C$7^ROUNDUP((Y$112-Keys!$C$6)/Keys!$C$8,0))</f>
        <v>1530.0936675293508</v>
      </c>
      <c r="Z141">
        <f>Y141*(1+$AC141/Keys!$C$7^ROUNDUP((Z$112-Keys!$C$6)/Keys!$C$8,0))</f>
        <v>1531.2366723578509</v>
      </c>
      <c r="AA141">
        <f>Z141*(1+$AC141/Keys!$C$7^ROUNDUP((AA$112-Keys!$C$6)/Keys!$C$8,0))</f>
        <v>1532.3805310295279</v>
      </c>
      <c r="AB141">
        <f>AA141*(1+$AC141/Keys!$C$7^ROUNDUP((AB$112-Keys!$C$6)/Keys!$C$8,0))</f>
        <v>1533.5252441822165</v>
      </c>
      <c r="AC141">
        <f>IFERROR((EPRI_PI2026!$J$32/EPRI_PI2026!$F$32)^(1/6)-1,0)</f>
        <v>0.19123615913557646</v>
      </c>
    </row>
    <row r="142" spans="1:29" x14ac:dyDescent="0.45">
      <c r="A142" t="s">
        <v>83</v>
      </c>
      <c r="B142">
        <f>IFERROR(EPRI_PI2026!$F$33,0)</f>
        <v>1085</v>
      </c>
      <c r="C142">
        <f t="shared" si="14"/>
        <v>1178.5356705227102</v>
      </c>
      <c r="D142">
        <f t="shared" si="14"/>
        <v>1280.1348633128241</v>
      </c>
      <c r="E142">
        <f t="shared" si="14"/>
        <v>1390.4927184275366</v>
      </c>
      <c r="F142">
        <f t="shared" si="14"/>
        <v>1510.3643025520212</v>
      </c>
      <c r="G142">
        <f t="shared" si="14"/>
        <v>1640.5697751536516</v>
      </c>
      <c r="H142">
        <f t="shared" si="14"/>
        <v>1782.0000000000007</v>
      </c>
      <c r="I142">
        <f>H142*(1+$AC142/Keys!$C$7^ROUNDUP((I$112-Keys!$C$6)/Keys!$C$8,0))</f>
        <v>1820.4056601086345</v>
      </c>
      <c r="J142">
        <f>I142*(1+$AC142/Keys!$C$7^ROUNDUP((J$112-Keys!$C$6)/Keys!$C$8,0))</f>
        <v>1859.6390389200628</v>
      </c>
      <c r="K142">
        <f>J142*(1+$AC142/Keys!$C$7^ROUNDUP((K$112-Keys!$C$6)/Keys!$C$8,0))</f>
        <v>1899.717975425961</v>
      </c>
      <c r="L142">
        <f>K142*(1+$AC142/Keys!$C$7^ROUNDUP((L$112-Keys!$C$6)/Keys!$C$8,0))</f>
        <v>1940.6606930839134</v>
      </c>
      <c r="M142">
        <f>L142*(1+$AC142/Keys!$C$7^ROUNDUP((M$112-Keys!$C$6)/Keys!$C$8,0))</f>
        <v>1982.4858081034231</v>
      </c>
      <c r="N142">
        <f>M142*(1+$AC142/Keys!$C$7^ROUNDUP((N$112-Keys!$C$6)/Keys!$C$8,0))</f>
        <v>1993.1674405551919</v>
      </c>
      <c r="O142">
        <f>N142*(1+$AC142/Keys!$C$7^ROUNDUP((O$112-Keys!$C$6)/Keys!$C$8,0))</f>
        <v>2003.9066256367796</v>
      </c>
      <c r="P142">
        <f>O142*(1+$AC142/Keys!$C$7^ROUNDUP((P$112-Keys!$C$6)/Keys!$C$8,0))</f>
        <v>2014.703673441724</v>
      </c>
      <c r="Q142">
        <f>P142*(1+$AC142/Keys!$C$7^ROUNDUP((Q$112-Keys!$C$6)/Keys!$C$8,0))</f>
        <v>2025.5588957343471</v>
      </c>
      <c r="R142">
        <f>Q142*(1+$AC142/Keys!$C$7^ROUNDUP((R$112-Keys!$C$6)/Keys!$C$8,0))</f>
        <v>2036.4726059587565</v>
      </c>
      <c r="S142">
        <f>R142*(1+$AC142/Keys!$C$7^ROUNDUP((S$112-Keys!$C$6)/Keys!$C$8,0))</f>
        <v>2039.2157342810417</v>
      </c>
      <c r="T142">
        <f>S142*(1+$AC142/Keys!$C$7^ROUNDUP((T$112-Keys!$C$6)/Keys!$C$8,0))</f>
        <v>2041.9625575968025</v>
      </c>
      <c r="U142">
        <f>T142*(1+$AC142/Keys!$C$7^ROUNDUP((U$112-Keys!$C$6)/Keys!$C$8,0))</f>
        <v>2044.7130808831948</v>
      </c>
      <c r="V142">
        <f>U142*(1+$AC142/Keys!$C$7^ROUNDUP((V$112-Keys!$C$6)/Keys!$C$8,0))</f>
        <v>2047.4673091240786</v>
      </c>
      <c r="W142">
        <f>V142*(1+$AC142/Keys!$C$7^ROUNDUP((W$112-Keys!$C$6)/Keys!$C$8,0))</f>
        <v>2050.225247310027</v>
      </c>
      <c r="X142">
        <f>W142*(1+$AC142/Keys!$C$7^ROUNDUP((X$112-Keys!$C$6)/Keys!$C$8,0))</f>
        <v>2050.9156605921039</v>
      </c>
      <c r="Y142">
        <f>X142*(1+$AC142/Keys!$C$7^ROUNDUP((Y$112-Keys!$C$6)/Keys!$C$8,0))</f>
        <v>2051.6063063708302</v>
      </c>
      <c r="Z142">
        <f>Y142*(1+$AC142/Keys!$C$7^ROUNDUP((Z$112-Keys!$C$6)/Keys!$C$8,0))</f>
        <v>2052.2971847244989</v>
      </c>
      <c r="AA142">
        <f>Z142*(1+$AC142/Keys!$C$7^ROUNDUP((AA$112-Keys!$C$6)/Keys!$C$8,0))</f>
        <v>2052.9882957314294</v>
      </c>
      <c r="AB142">
        <f>AA142*(1+$AC142/Keys!$C$7^ROUNDUP((AB$112-Keys!$C$6)/Keys!$C$8,0))</f>
        <v>2053.6796394699682</v>
      </c>
      <c r="AC142">
        <f>IFERROR((EPRI_PI2026!$J$33/EPRI_PI2026!$F$33)^(1/6)-1,0)</f>
        <v>8.6207991265170758E-2</v>
      </c>
    </row>
    <row r="143" spans="1:29" x14ac:dyDescent="0.45">
      <c r="A143" t="s">
        <v>85</v>
      </c>
      <c r="B143">
        <f>IFERROR(EPRI_PI2026!$F$34,0)</f>
        <v>746</v>
      </c>
      <c r="C143">
        <f t="shared" ref="C143:H152" si="15">B143*(1+$AC143)</f>
        <v>914.57969361722201</v>
      </c>
      <c r="D143">
        <f t="shared" si="15"/>
        <v>1121.25471310586</v>
      </c>
      <c r="E143">
        <f t="shared" si="15"/>
        <v>1374.6337694091469</v>
      </c>
      <c r="F143">
        <f t="shared" si="15"/>
        <v>1685.2709539706495</v>
      </c>
      <c r="G143">
        <f t="shared" si="15"/>
        <v>2066.1053522043967</v>
      </c>
      <c r="H143">
        <f t="shared" si="15"/>
        <v>2532.9999999999995</v>
      </c>
      <c r="I143">
        <f>H143*(1+$AC143/Keys!$C$7^ROUNDUP((I$112-Keys!$C$6)/Keys!$C$8,0))</f>
        <v>2676.100658154297</v>
      </c>
      <c r="J143">
        <f>I143*(1+$AC143/Keys!$C$7^ROUNDUP((J$112-Keys!$C$6)/Keys!$C$8,0))</f>
        <v>2827.2857215056702</v>
      </c>
      <c r="K143">
        <f>J143*(1+$AC143/Keys!$C$7^ROUNDUP((K$112-Keys!$C$6)/Keys!$C$8,0))</f>
        <v>2987.0119147696691</v>
      </c>
      <c r="L143">
        <f>K143*(1+$AC143/Keys!$C$7^ROUNDUP((L$112-Keys!$C$6)/Keys!$C$8,0))</f>
        <v>3155.7617651124515</v>
      </c>
      <c r="M143">
        <f>L143*(1+$AC143/Keys!$C$7^ROUNDUP((M$112-Keys!$C$6)/Keys!$C$8,0))</f>
        <v>3334.0450598482425</v>
      </c>
      <c r="N143">
        <f>M143*(1+$AC143/Keys!$C$7^ROUNDUP((N$112-Keys!$C$6)/Keys!$C$8,0))</f>
        <v>3381.1338915083657</v>
      </c>
      <c r="O143">
        <f>N143*(1+$AC143/Keys!$C$7^ROUNDUP((O$112-Keys!$C$6)/Keys!$C$8,0))</f>
        <v>3428.8877885852162</v>
      </c>
      <c r="P143">
        <f>O143*(1+$AC143/Keys!$C$7^ROUNDUP((P$112-Keys!$C$6)/Keys!$C$8,0))</f>
        <v>3477.3161442192254</v>
      </c>
      <c r="Q143">
        <f>P143*(1+$AC143/Keys!$C$7^ROUNDUP((Q$112-Keys!$C$6)/Keys!$C$8,0))</f>
        <v>3526.4284842161005</v>
      </c>
      <c r="R143">
        <f>Q143*(1+$AC143/Keys!$C$7^ROUNDUP((R$112-Keys!$C$6)/Keys!$C$8,0))</f>
        <v>3576.2344689205406</v>
      </c>
      <c r="S143">
        <f>R143*(1+$AC143/Keys!$C$7^ROUNDUP((S$112-Keys!$C$6)/Keys!$C$8,0))</f>
        <v>3588.8618254695093</v>
      </c>
      <c r="T143">
        <f>S143*(1+$AC143/Keys!$C$7^ROUNDUP((T$112-Keys!$C$6)/Keys!$C$8,0))</f>
        <v>3601.5337680585712</v>
      </c>
      <c r="U143">
        <f>T143*(1+$AC143/Keys!$C$7^ROUNDUP((U$112-Keys!$C$6)/Keys!$C$8,0))</f>
        <v>3614.2504541169528</v>
      </c>
      <c r="V143">
        <f>U143*(1+$AC143/Keys!$C$7^ROUNDUP((V$112-Keys!$C$6)/Keys!$C$8,0))</f>
        <v>3627.0120416297486</v>
      </c>
      <c r="W143">
        <f>V143*(1+$AC143/Keys!$C$7^ROUNDUP((W$112-Keys!$C$6)/Keys!$C$8,0))</f>
        <v>3639.8186891398841</v>
      </c>
      <c r="X143">
        <f>W143*(1+$AC143/Keys!$C$7^ROUNDUP((X$112-Keys!$C$6)/Keys!$C$8,0))</f>
        <v>3643.0316557924339</v>
      </c>
      <c r="Y143">
        <f>X143*(1+$AC143/Keys!$C$7^ROUNDUP((Y$112-Keys!$C$6)/Keys!$C$8,0))</f>
        <v>3646.2474586177696</v>
      </c>
      <c r="Z143">
        <f>Y143*(1+$AC143/Keys!$C$7^ROUNDUP((Z$112-Keys!$C$6)/Keys!$C$8,0))</f>
        <v>3649.4661001194572</v>
      </c>
      <c r="AA143">
        <f>Z143*(1+$AC143/Keys!$C$7^ROUNDUP((AA$112-Keys!$C$6)/Keys!$C$8,0))</f>
        <v>3652.6875828032735</v>
      </c>
      <c r="AB143">
        <f>AA143*(1+$AC143/Keys!$C$7^ROUNDUP((AB$112-Keys!$C$6)/Keys!$C$8,0))</f>
        <v>3655.9119091772072</v>
      </c>
      <c r="AC143">
        <f>IFERROR((EPRI_PI2026!$J$34/EPRI_PI2026!$F$34)^(1/6)-1,0)</f>
        <v>0.22597814157804552</v>
      </c>
    </row>
    <row r="144" spans="1:29" x14ac:dyDescent="0.45">
      <c r="A144" t="s">
        <v>87</v>
      </c>
      <c r="B144">
        <f>IFERROR(EPRI_PI2026!$F$35,0)</f>
        <v>640</v>
      </c>
      <c r="C144">
        <f t="shared" si="15"/>
        <v>666.58211107210707</v>
      </c>
      <c r="D144">
        <f t="shared" si="15"/>
        <v>694.26829812710446</v>
      </c>
      <c r="E144">
        <f t="shared" si="15"/>
        <v>723.10441846250671</v>
      </c>
      <c r="F144">
        <f t="shared" si="15"/>
        <v>753.13823403797812</v>
      </c>
      <c r="G144">
        <f t="shared" si="15"/>
        <v>784.4194905846158</v>
      </c>
      <c r="H144">
        <f t="shared" si="15"/>
        <v>817</v>
      </c>
      <c r="I144">
        <f>H144*(1+$AC144/Keys!$C$7^ROUNDUP((I$112-Keys!$C$6)/Keys!$C$8,0))</f>
        <v>825.48343154137171</v>
      </c>
      <c r="J144">
        <f>I144*(1+$AC144/Keys!$C$7^ROUNDUP((J$112-Keys!$C$6)/Keys!$C$8,0))</f>
        <v>834.0549519575502</v>
      </c>
      <c r="K144">
        <f>J144*(1+$AC144/Keys!$C$7^ROUNDUP((K$112-Keys!$C$6)/Keys!$C$8,0))</f>
        <v>842.71547593144737</v>
      </c>
      <c r="L144">
        <f>K144*(1+$AC144/Keys!$C$7^ROUNDUP((L$112-Keys!$C$6)/Keys!$C$8,0))</f>
        <v>851.46592764371042</v>
      </c>
      <c r="M144">
        <f>L144*(1+$AC144/Keys!$C$7^ROUNDUP((M$112-Keys!$C$6)/Keys!$C$8,0))</f>
        <v>860.3072408713432</v>
      </c>
      <c r="N144">
        <f>M144*(1+$AC144/Keys!$C$7^ROUNDUP((N$112-Keys!$C$6)/Keys!$C$8,0))</f>
        <v>862.54052042534511</v>
      </c>
      <c r="O144">
        <f>N144*(1+$AC144/Keys!$C$7^ROUNDUP((O$112-Keys!$C$6)/Keys!$C$8,0))</f>
        <v>864.77959737047593</v>
      </c>
      <c r="P144">
        <f>O144*(1+$AC144/Keys!$C$7^ROUNDUP((P$112-Keys!$C$6)/Keys!$C$8,0))</f>
        <v>867.02448675623702</v>
      </c>
      <c r="Q144">
        <f>P144*(1+$AC144/Keys!$C$7^ROUNDUP((Q$112-Keys!$C$6)/Keys!$C$8,0))</f>
        <v>869.27520367119712</v>
      </c>
      <c r="R144">
        <f>Q144*(1+$AC144/Keys!$C$7^ROUNDUP((R$112-Keys!$C$6)/Keys!$C$8,0))</f>
        <v>871.53176324309322</v>
      </c>
      <c r="S144">
        <f>R144*(1+$AC144/Keys!$C$7^ROUNDUP((S$112-Keys!$C$6)/Keys!$C$8,0))</f>
        <v>872.09736759205305</v>
      </c>
      <c r="T144">
        <f>S144*(1+$AC144/Keys!$C$7^ROUNDUP((T$112-Keys!$C$6)/Keys!$C$8,0))</f>
        <v>872.66333900540803</v>
      </c>
      <c r="U144">
        <f>T144*(1+$AC144/Keys!$C$7^ROUNDUP((U$112-Keys!$C$6)/Keys!$C$8,0))</f>
        <v>873.22967772137463</v>
      </c>
      <c r="V144">
        <f>U144*(1+$AC144/Keys!$C$7^ROUNDUP((V$112-Keys!$C$6)/Keys!$C$8,0))</f>
        <v>873.796383978324</v>
      </c>
      <c r="W144">
        <f>V144*(1+$AC144/Keys!$C$7^ROUNDUP((W$112-Keys!$C$6)/Keys!$C$8,0))</f>
        <v>874.36345801478183</v>
      </c>
      <c r="X144">
        <f>W144*(1+$AC144/Keys!$C$7^ROUNDUP((X$112-Keys!$C$6)/Keys!$C$8,0))</f>
        <v>874.50531852844347</v>
      </c>
      <c r="Y144">
        <f>X144*(1+$AC144/Keys!$C$7^ROUNDUP((Y$112-Keys!$C$6)/Keys!$C$8,0))</f>
        <v>874.64720205816923</v>
      </c>
      <c r="Z144">
        <f>Y144*(1+$AC144/Keys!$C$7^ROUNDUP((Z$112-Keys!$C$6)/Keys!$C$8,0))</f>
        <v>874.78910860769315</v>
      </c>
      <c r="AA144">
        <f>Z144*(1+$AC144/Keys!$C$7^ROUNDUP((AA$112-Keys!$C$6)/Keys!$C$8,0))</f>
        <v>874.93103818075019</v>
      </c>
      <c r="AB144">
        <f>AA144*(1+$AC144/Keys!$C$7^ROUNDUP((AB$112-Keys!$C$6)/Keys!$C$8,0))</f>
        <v>875.07299078107576</v>
      </c>
      <c r="AC144">
        <f>IFERROR((EPRI_PI2026!$J$35/EPRI_PI2026!$F$35)^(1/6)-1,0)</f>
        <v>4.153454855016725E-2</v>
      </c>
    </row>
    <row r="145" spans="1:29" x14ac:dyDescent="0.45">
      <c r="A145" t="s">
        <v>89</v>
      </c>
      <c r="B145">
        <f>IFERROR(EPRI_PI2026!$F$36,0)</f>
        <v>2104</v>
      </c>
      <c r="C145">
        <f t="shared" si="15"/>
        <v>2556.5695059678501</v>
      </c>
      <c r="D145">
        <f t="shared" si="15"/>
        <v>3106.486520363449</v>
      </c>
      <c r="E145">
        <f t="shared" si="15"/>
        <v>3774.6904508846806</v>
      </c>
      <c r="F145">
        <f t="shared" si="15"/>
        <v>4586.6247629276659</v>
      </c>
      <c r="G145">
        <f t="shared" si="15"/>
        <v>5573.2058004837882</v>
      </c>
      <c r="H145">
        <f t="shared" si="15"/>
        <v>6771.9999999999973</v>
      </c>
      <c r="I145">
        <f>H145*(1+$AC145/Keys!$C$7^ROUNDUP((I$112-Keys!$C$6)/Keys!$C$8,0))</f>
        <v>7136.1635806100585</v>
      </c>
      <c r="J145">
        <f>I145*(1+$AC145/Keys!$C$7^ROUNDUP((J$112-Keys!$C$6)/Keys!$C$8,0))</f>
        <v>7519.9100190823083</v>
      </c>
      <c r="K145">
        <f>J145*(1+$AC145/Keys!$C$7^ROUNDUP((K$112-Keys!$C$6)/Keys!$C$8,0))</f>
        <v>7924.2923815179975</v>
      </c>
      <c r="L145">
        <f>K145*(1+$AC145/Keys!$C$7^ROUNDUP((L$112-Keys!$C$6)/Keys!$C$8,0))</f>
        <v>8350.4203625361042</v>
      </c>
      <c r="M145">
        <f>L145*(1+$AC145/Keys!$C$7^ROUNDUP((M$112-Keys!$C$6)/Keys!$C$8,0))</f>
        <v>8799.4633304658601</v>
      </c>
      <c r="N145">
        <f>M145*(1+$AC145/Keys!$C$7^ROUNDUP((N$112-Keys!$C$6)/Keys!$C$8,0))</f>
        <v>8917.7608819229408</v>
      </c>
      <c r="O145">
        <f>N145*(1+$AC145/Keys!$C$7^ROUNDUP((O$112-Keys!$C$6)/Keys!$C$8,0))</f>
        <v>9037.6487929457326</v>
      </c>
      <c r="P145">
        <f>O145*(1+$AC145/Keys!$C$7^ROUNDUP((P$112-Keys!$C$6)/Keys!$C$8,0))</f>
        <v>9159.1484438884127</v>
      </c>
      <c r="Q145">
        <f>P145*(1+$AC145/Keys!$C$7^ROUNDUP((Q$112-Keys!$C$6)/Keys!$C$8,0))</f>
        <v>9282.2815025367254</v>
      </c>
      <c r="R145">
        <f>Q145*(1+$AC145/Keys!$C$7^ROUNDUP((R$112-Keys!$C$6)/Keys!$C$8,0))</f>
        <v>9407.0699279721321</v>
      </c>
      <c r="S145">
        <f>R145*(1+$AC145/Keys!$C$7^ROUNDUP((S$112-Keys!$C$6)/Keys!$C$8,0))</f>
        <v>9438.6864396010787</v>
      </c>
      <c r="T145">
        <f>S145*(1+$AC145/Keys!$C$7^ROUNDUP((T$112-Keys!$C$6)/Keys!$C$8,0))</f>
        <v>9470.4092121396643</v>
      </c>
      <c r="U145">
        <f>T145*(1+$AC145/Keys!$C$7^ROUNDUP((U$112-Keys!$C$6)/Keys!$C$8,0))</f>
        <v>9502.2386027234588</v>
      </c>
      <c r="V145">
        <f>U145*(1+$AC145/Keys!$C$7^ROUNDUP((V$112-Keys!$C$6)/Keys!$C$8,0))</f>
        <v>9534.1749696883417</v>
      </c>
      <c r="W145">
        <f>V145*(1+$AC145/Keys!$C$7^ROUNDUP((W$112-Keys!$C$6)/Keys!$C$8,0))</f>
        <v>9566.2186725745323</v>
      </c>
      <c r="X145">
        <f>W145*(1+$AC145/Keys!$C$7^ROUNDUP((X$112-Keys!$C$6)/Keys!$C$8,0))</f>
        <v>9574.25652246356</v>
      </c>
      <c r="Y145">
        <f>X145*(1+$AC145/Keys!$C$7^ROUNDUP((Y$112-Keys!$C$6)/Keys!$C$8,0))</f>
        <v>9582.3011260170224</v>
      </c>
      <c r="Z145">
        <f>Y145*(1+$AC145/Keys!$C$7^ROUNDUP((Z$112-Keys!$C$6)/Keys!$C$8,0))</f>
        <v>9590.3524889095715</v>
      </c>
      <c r="AA145">
        <f>Z145*(1+$AC145/Keys!$C$7^ROUNDUP((AA$112-Keys!$C$6)/Keys!$C$8,0))</f>
        <v>9598.4106168206254</v>
      </c>
      <c r="AB145">
        <f>AA145*(1+$AC145/Keys!$C$7^ROUNDUP((AB$112-Keys!$C$6)/Keys!$C$8,0))</f>
        <v>9606.4755154343729</v>
      </c>
      <c r="AC145">
        <f>IFERROR((EPRI_PI2026!$J$36/EPRI_PI2026!$F$36)^(1/6)-1,0)</f>
        <v>0.21509957507977662</v>
      </c>
    </row>
    <row r="146" spans="1:29" x14ac:dyDescent="0.45">
      <c r="A146" t="s">
        <v>91</v>
      </c>
      <c r="B146">
        <f>IFERROR(EPRI_PI2026!$F$37,0)</f>
        <v>745</v>
      </c>
      <c r="C146">
        <f t="shared" si="15"/>
        <v>801.01893295472382</v>
      </c>
      <c r="D146">
        <f t="shared" si="15"/>
        <v>861.25010866030118</v>
      </c>
      <c r="E146">
        <f t="shared" si="15"/>
        <v>926.0102591224354</v>
      </c>
      <c r="F146">
        <f t="shared" si="15"/>
        <v>995.63993243943696</v>
      </c>
      <c r="G146">
        <f t="shared" si="15"/>
        <v>1070.5052836104041</v>
      </c>
      <c r="H146">
        <f t="shared" si="15"/>
        <v>1151</v>
      </c>
      <c r="I146">
        <f>H146*(1+$AC146/Keys!$C$7^ROUNDUP((I$112-Keys!$C$6)/Keys!$C$8,0))</f>
        <v>1172.6368428962708</v>
      </c>
      <c r="J146">
        <f>I146*(1+$AC146/Keys!$C$7^ROUNDUP((J$112-Keys!$C$6)/Keys!$C$8,0))</f>
        <v>1194.6804216487692</v>
      </c>
      <c r="K146">
        <f>J146*(1+$AC146/Keys!$C$7^ROUNDUP((K$112-Keys!$C$6)/Keys!$C$8,0))</f>
        <v>1217.1383821999987</v>
      </c>
      <c r="L146">
        <f>K146*(1+$AC146/Keys!$C$7^ROUNDUP((L$112-Keys!$C$6)/Keys!$C$8,0))</f>
        <v>1240.0185142231808</v>
      </c>
      <c r="M146">
        <f>L146*(1+$AC146/Keys!$C$7^ROUNDUP((M$112-Keys!$C$6)/Keys!$C$8,0))</f>
        <v>1263.3287538241489</v>
      </c>
      <c r="N146">
        <f>M146*(1+$AC146/Keys!$C$7^ROUNDUP((N$112-Keys!$C$6)/Keys!$C$8,0))</f>
        <v>1269.2658619416195</v>
      </c>
      <c r="O146">
        <f>N146*(1+$AC146/Keys!$C$7^ROUNDUP((O$112-Keys!$C$6)/Keys!$C$8,0))</f>
        <v>1275.2308719434507</v>
      </c>
      <c r="P146">
        <f>O146*(1+$AC146/Keys!$C$7^ROUNDUP((P$112-Keys!$C$6)/Keys!$C$8,0))</f>
        <v>1281.2239149566381</v>
      </c>
      <c r="Q146">
        <f>P146*(1+$AC146/Keys!$C$7^ROUNDUP((Q$112-Keys!$C$6)/Keys!$C$8,0))</f>
        <v>1287.2451227244187</v>
      </c>
      <c r="R146">
        <f>Q146*(1+$AC146/Keys!$C$7^ROUNDUP((R$112-Keys!$C$6)/Keys!$C$8,0))</f>
        <v>1293.2946276091666</v>
      </c>
      <c r="S146">
        <f>R146*(1+$AC146/Keys!$C$7^ROUNDUP((S$112-Keys!$C$6)/Keys!$C$8,0))</f>
        <v>1294.8141113557008</v>
      </c>
      <c r="T146">
        <f>S146*(1+$AC146/Keys!$C$7^ROUNDUP((T$112-Keys!$C$6)/Keys!$C$8,0))</f>
        <v>1296.3353803341586</v>
      </c>
      <c r="U146">
        <f>T146*(1+$AC146/Keys!$C$7^ROUNDUP((U$112-Keys!$C$6)/Keys!$C$8,0))</f>
        <v>1297.858436641998</v>
      </c>
      <c r="V146">
        <f>U146*(1+$AC146/Keys!$C$7^ROUNDUP((V$112-Keys!$C$6)/Keys!$C$8,0))</f>
        <v>1299.3832823791408</v>
      </c>
      <c r="W146">
        <f>V146*(1+$AC146/Keys!$C$7^ROUNDUP((W$112-Keys!$C$6)/Keys!$C$8,0))</f>
        <v>1300.9099196479767</v>
      </c>
      <c r="X146">
        <f>W146*(1+$AC146/Keys!$C$7^ROUNDUP((X$112-Keys!$C$6)/Keys!$C$8,0))</f>
        <v>1301.2920273743237</v>
      </c>
      <c r="Y146">
        <f>X146*(1+$AC146/Keys!$C$7^ROUNDUP((Y$112-Keys!$C$6)/Keys!$C$8,0))</f>
        <v>1301.6742473346633</v>
      </c>
      <c r="Z146">
        <f>Y146*(1+$AC146/Keys!$C$7^ROUNDUP((Z$112-Keys!$C$6)/Keys!$C$8,0))</f>
        <v>1302.0565795619616</v>
      </c>
      <c r="AA146">
        <f>Z146*(1+$AC146/Keys!$C$7^ROUNDUP((AA$112-Keys!$C$6)/Keys!$C$8,0))</f>
        <v>1302.4390240891937</v>
      </c>
      <c r="AB146">
        <f>AA146*(1+$AC146/Keys!$C$7^ROUNDUP((AB$112-Keys!$C$6)/Keys!$C$8,0))</f>
        <v>1302.8215809493449</v>
      </c>
      <c r="AC146">
        <f>IFERROR((EPRI_PI2026!$J$37/EPRI_PI2026!$F$37)^(1/6)-1,0)</f>
        <v>7.5193198596944733E-2</v>
      </c>
    </row>
    <row r="147" spans="1:29" x14ac:dyDescent="0.45">
      <c r="A147" t="s">
        <v>93</v>
      </c>
      <c r="B147">
        <f>IFERROR(EPRI_PI2026!$F$38,0)</f>
        <v>2982</v>
      </c>
      <c r="C147">
        <f t="shared" si="15"/>
        <v>3196.2798157333646</v>
      </c>
      <c r="D147">
        <f t="shared" si="15"/>
        <v>3425.9572972718011</v>
      </c>
      <c r="E147">
        <f t="shared" si="15"/>
        <v>3672.1388862623367</v>
      </c>
      <c r="F147">
        <f t="shared" si="15"/>
        <v>3936.0105307612021</v>
      </c>
      <c r="G147">
        <f t="shared" si="15"/>
        <v>4218.8433983856467</v>
      </c>
      <c r="H147">
        <f t="shared" si="15"/>
        <v>4521.9999999999991</v>
      </c>
      <c r="I147">
        <f>H147*(1+$AC147/Keys!$C$7^ROUNDUP((I$112-Keys!$C$6)/Keys!$C$8,0))</f>
        <v>4603.23518835901</v>
      </c>
      <c r="J147">
        <f>I147*(1+$AC147/Keys!$C$7^ROUNDUP((J$112-Keys!$C$6)/Keys!$C$8,0))</f>
        <v>4685.929721217738</v>
      </c>
      <c r="K147">
        <f>J147*(1+$AC147/Keys!$C$7^ROUNDUP((K$112-Keys!$C$6)/Keys!$C$8,0))</f>
        <v>4770.109814879881</v>
      </c>
      <c r="L147">
        <f>K147*(1+$AC147/Keys!$C$7^ROUNDUP((L$112-Keys!$C$6)/Keys!$C$8,0))</f>
        <v>4855.8021566102952</v>
      </c>
      <c r="M147">
        <f>L147*(1+$AC147/Keys!$C$7^ROUNDUP((M$112-Keys!$C$6)/Keys!$C$8,0))</f>
        <v>4943.0339130955508</v>
      </c>
      <c r="N147">
        <f>M147*(1+$AC147/Keys!$C$7^ROUNDUP((N$112-Keys!$C$6)/Keys!$C$8,0))</f>
        <v>4965.2336195857806</v>
      </c>
      <c r="O147">
        <f>N147*(1+$AC147/Keys!$C$7^ROUNDUP((O$112-Keys!$C$6)/Keys!$C$8,0))</f>
        <v>4987.5330273883865</v>
      </c>
      <c r="P147">
        <f>O147*(1+$AC147/Keys!$C$7^ROUNDUP((P$112-Keys!$C$6)/Keys!$C$8,0))</f>
        <v>5009.9325842728776</v>
      </c>
      <c r="Q147">
        <f>P147*(1+$AC147/Keys!$C$7^ROUNDUP((Q$112-Keys!$C$6)/Keys!$C$8,0))</f>
        <v>5032.4327400197453</v>
      </c>
      <c r="R147">
        <f>Q147*(1+$AC147/Keys!$C$7^ROUNDUP((R$112-Keys!$C$6)/Keys!$C$8,0))</f>
        <v>5055.0339464294948</v>
      </c>
      <c r="S147">
        <f>R147*(1+$AC147/Keys!$C$7^ROUNDUP((S$112-Keys!$C$6)/Keys!$C$8,0))</f>
        <v>5060.7096241550507</v>
      </c>
      <c r="T147">
        <f>S147*(1+$AC147/Keys!$C$7^ROUNDUP((T$112-Keys!$C$6)/Keys!$C$8,0))</f>
        <v>5066.391674403123</v>
      </c>
      <c r="U147">
        <f>T147*(1+$AC147/Keys!$C$7^ROUNDUP((U$112-Keys!$C$6)/Keys!$C$8,0))</f>
        <v>5072.0801043286356</v>
      </c>
      <c r="V147">
        <f>U147*(1+$AC147/Keys!$C$7^ROUNDUP((V$112-Keys!$C$6)/Keys!$C$8,0))</f>
        <v>5077.7749210945458</v>
      </c>
      <c r="W147">
        <f>V147*(1+$AC147/Keys!$C$7^ROUNDUP((W$112-Keys!$C$6)/Keys!$C$8,0))</f>
        <v>5083.4761318718538</v>
      </c>
      <c r="X147">
        <f>W147*(1+$AC147/Keys!$C$7^ROUNDUP((X$112-Keys!$C$6)/Keys!$C$8,0))</f>
        <v>5084.9030348637925</v>
      </c>
      <c r="Y147">
        <f>X147*(1+$AC147/Keys!$C$7^ROUNDUP((Y$112-Keys!$C$6)/Keys!$C$8,0))</f>
        <v>5086.3303383793291</v>
      </c>
      <c r="Z147">
        <f>Y147*(1+$AC147/Keys!$C$7^ROUNDUP((Z$112-Keys!$C$6)/Keys!$C$8,0))</f>
        <v>5087.7580425308879</v>
      </c>
      <c r="AA147">
        <f>Z147*(1+$AC147/Keys!$C$7^ROUNDUP((AA$112-Keys!$C$6)/Keys!$C$8,0))</f>
        <v>5089.1861474309253</v>
      </c>
      <c r="AB147">
        <f>AA147*(1+$AC147/Keys!$C$7^ROUNDUP((AB$112-Keys!$C$6)/Keys!$C$8,0))</f>
        <v>5090.6146531919294</v>
      </c>
      <c r="AC147">
        <f>IFERROR((EPRI_PI2026!$J$38/EPRI_PI2026!$F$38)^(1/6)-1,0)</f>
        <v>7.1857751754984767E-2</v>
      </c>
    </row>
    <row r="148" spans="1:29" x14ac:dyDescent="0.45">
      <c r="A148" t="s">
        <v>95</v>
      </c>
      <c r="B148">
        <f>IFERROR(EPRI_PI2026!$F$39,0)</f>
        <v>631</v>
      </c>
      <c r="C148">
        <f t="shared" si="15"/>
        <v>890.35395014163055</v>
      </c>
      <c r="D148">
        <f t="shared" si="15"/>
        <v>1256.3076965654598</v>
      </c>
      <c r="E148">
        <f t="shared" si="15"/>
        <v>1772.6759433128211</v>
      </c>
      <c r="F148">
        <f t="shared" si="15"/>
        <v>2501.2821370041388</v>
      </c>
      <c r="G148">
        <f t="shared" si="15"/>
        <v>3529.360429636029</v>
      </c>
      <c r="H148">
        <f t="shared" si="15"/>
        <v>4980.0000000000018</v>
      </c>
      <c r="I148">
        <f>H148*(1+$AC148/Keys!$C$7^ROUNDUP((I$112-Keys!$C$6)/Keys!$C$8,0))</f>
        <v>5491.7205513887984</v>
      </c>
      <c r="J148">
        <f>I148*(1+$AC148/Keys!$C$7^ROUNDUP((J$112-Keys!$C$6)/Keys!$C$8,0))</f>
        <v>6056.0230149690915</v>
      </c>
      <c r="K148">
        <f>J148*(1+$AC148/Keys!$C$7^ROUNDUP((K$112-Keys!$C$6)/Keys!$C$8,0))</f>
        <v>6678.3104520058832</v>
      </c>
      <c r="L148">
        <f>K148*(1+$AC148/Keys!$C$7^ROUNDUP((L$112-Keys!$C$6)/Keys!$C$8,0))</f>
        <v>7364.5411160311869</v>
      </c>
      <c r="M148">
        <f>L148*(1+$AC148/Keys!$C$7^ROUNDUP((M$112-Keys!$C$6)/Keys!$C$8,0))</f>
        <v>8121.285501698042</v>
      </c>
      <c r="N148">
        <f>M148*(1+$AC148/Keys!$C$7^ROUNDUP((N$112-Keys!$C$6)/Keys!$C$8,0))</f>
        <v>8329.9114401977786</v>
      </c>
      <c r="O148">
        <f>N148*(1+$AC148/Keys!$C$7^ROUNDUP((O$112-Keys!$C$6)/Keys!$C$8,0))</f>
        <v>8543.8967250972692</v>
      </c>
      <c r="P148">
        <f>O148*(1+$AC148/Keys!$C$7^ROUNDUP((P$112-Keys!$C$6)/Keys!$C$8,0))</f>
        <v>8763.3790314815924</v>
      </c>
      <c r="Q148">
        <f>P148*(1+$AC148/Keys!$C$7^ROUNDUP((Q$112-Keys!$C$6)/Keys!$C$8,0))</f>
        <v>8988.4995711411702</v>
      </c>
      <c r="R148">
        <f>Q148*(1+$AC148/Keys!$C$7^ROUNDUP((R$112-Keys!$C$6)/Keys!$C$8,0))</f>
        <v>9219.4031834254238</v>
      </c>
      <c r="S148">
        <f>R148*(1+$AC148/Keys!$C$7^ROUNDUP((S$112-Keys!$C$6)/Keys!$C$8,0))</f>
        <v>9278.6119946766539</v>
      </c>
      <c r="T148">
        <f>S148*(1+$AC148/Keys!$C$7^ROUNDUP((T$112-Keys!$C$6)/Keys!$C$8,0))</f>
        <v>9338.2010564994271</v>
      </c>
      <c r="U148">
        <f>T148*(1+$AC148/Keys!$C$7^ROUNDUP((U$112-Keys!$C$6)/Keys!$C$8,0))</f>
        <v>9398.1728109373198</v>
      </c>
      <c r="V148">
        <f>U148*(1+$AC148/Keys!$C$7^ROUNDUP((V$112-Keys!$C$6)/Keys!$C$8,0))</f>
        <v>9458.5297157171881</v>
      </c>
      <c r="W148">
        <f>V148*(1+$AC148/Keys!$C$7^ROUNDUP((W$112-Keys!$C$6)/Keys!$C$8,0))</f>
        <v>9519.2742443498937</v>
      </c>
      <c r="X148">
        <f>W148*(1+$AC148/Keys!$C$7^ROUNDUP((X$112-Keys!$C$6)/Keys!$C$8,0))</f>
        <v>9534.5579048203363</v>
      </c>
      <c r="Y148">
        <f>X148*(1+$AC148/Keys!$C$7^ROUNDUP((Y$112-Keys!$C$6)/Keys!$C$8,0))</f>
        <v>9549.8661039553226</v>
      </c>
      <c r="Z148">
        <f>Y148*(1+$AC148/Keys!$C$7^ROUNDUP((Z$112-Keys!$C$6)/Keys!$C$8,0))</f>
        <v>9565.198881152879</v>
      </c>
      <c r="AA148">
        <f>Z148*(1+$AC148/Keys!$C$7^ROUNDUP((AA$112-Keys!$C$6)/Keys!$C$8,0))</f>
        <v>9580.5562758742853</v>
      </c>
      <c r="AB148">
        <f>AA148*(1+$AC148/Keys!$C$7^ROUNDUP((AB$112-Keys!$C$6)/Keys!$C$8,0))</f>
        <v>9595.9383276441822</v>
      </c>
      <c r="AC148">
        <f>IFERROR((EPRI_PI2026!$J$39/EPRI_PI2026!$F$39)^(1/6)-1,0)</f>
        <v>0.41102052320385196</v>
      </c>
    </row>
    <row r="149" spans="1:29" x14ac:dyDescent="0.45">
      <c r="A149" t="s">
        <v>97</v>
      </c>
      <c r="B149">
        <f>IFERROR(EPRI_PI2026!$F$40,0)</f>
        <v>3</v>
      </c>
      <c r="C149">
        <f t="shared" si="15"/>
        <v>3</v>
      </c>
      <c r="D149">
        <f t="shared" si="15"/>
        <v>3</v>
      </c>
      <c r="E149">
        <f t="shared" si="15"/>
        <v>3</v>
      </c>
      <c r="F149">
        <f t="shared" si="15"/>
        <v>3</v>
      </c>
      <c r="G149">
        <f t="shared" si="15"/>
        <v>3</v>
      </c>
      <c r="H149">
        <f t="shared" si="15"/>
        <v>3</v>
      </c>
      <c r="I149">
        <f>H149*(1+$AC149/Keys!$C$7^ROUNDUP((I$112-Keys!$C$6)/Keys!$C$8,0))</f>
        <v>3</v>
      </c>
      <c r="J149">
        <f>I149*(1+$AC149/Keys!$C$7^ROUNDUP((J$112-Keys!$C$6)/Keys!$C$8,0))</f>
        <v>3</v>
      </c>
      <c r="K149">
        <f>J149*(1+$AC149/Keys!$C$7^ROUNDUP((K$112-Keys!$C$6)/Keys!$C$8,0))</f>
        <v>3</v>
      </c>
      <c r="L149">
        <f>K149*(1+$AC149/Keys!$C$7^ROUNDUP((L$112-Keys!$C$6)/Keys!$C$8,0))</f>
        <v>3</v>
      </c>
      <c r="M149">
        <f>L149*(1+$AC149/Keys!$C$7^ROUNDUP((M$112-Keys!$C$6)/Keys!$C$8,0))</f>
        <v>3</v>
      </c>
      <c r="N149">
        <f>M149*(1+$AC149/Keys!$C$7^ROUNDUP((N$112-Keys!$C$6)/Keys!$C$8,0))</f>
        <v>3</v>
      </c>
      <c r="O149">
        <f>N149*(1+$AC149/Keys!$C$7^ROUNDUP((O$112-Keys!$C$6)/Keys!$C$8,0))</f>
        <v>3</v>
      </c>
      <c r="P149">
        <f>O149*(1+$AC149/Keys!$C$7^ROUNDUP((P$112-Keys!$C$6)/Keys!$C$8,0))</f>
        <v>3</v>
      </c>
      <c r="Q149">
        <f>P149*(1+$AC149/Keys!$C$7^ROUNDUP((Q$112-Keys!$C$6)/Keys!$C$8,0))</f>
        <v>3</v>
      </c>
      <c r="R149">
        <f>Q149*(1+$AC149/Keys!$C$7^ROUNDUP((R$112-Keys!$C$6)/Keys!$C$8,0))</f>
        <v>3</v>
      </c>
      <c r="S149">
        <f>R149*(1+$AC149/Keys!$C$7^ROUNDUP((S$112-Keys!$C$6)/Keys!$C$8,0))</f>
        <v>3</v>
      </c>
      <c r="T149">
        <f>S149*(1+$AC149/Keys!$C$7^ROUNDUP((T$112-Keys!$C$6)/Keys!$C$8,0))</f>
        <v>3</v>
      </c>
      <c r="U149">
        <f>T149*(1+$AC149/Keys!$C$7^ROUNDUP((U$112-Keys!$C$6)/Keys!$C$8,0))</f>
        <v>3</v>
      </c>
      <c r="V149">
        <f>U149*(1+$AC149/Keys!$C$7^ROUNDUP((V$112-Keys!$C$6)/Keys!$C$8,0))</f>
        <v>3</v>
      </c>
      <c r="W149">
        <f>V149*(1+$AC149/Keys!$C$7^ROUNDUP((W$112-Keys!$C$6)/Keys!$C$8,0))</f>
        <v>3</v>
      </c>
      <c r="X149">
        <f>W149*(1+$AC149/Keys!$C$7^ROUNDUP((X$112-Keys!$C$6)/Keys!$C$8,0))</f>
        <v>3</v>
      </c>
      <c r="Y149">
        <f>X149*(1+$AC149/Keys!$C$7^ROUNDUP((Y$112-Keys!$C$6)/Keys!$C$8,0))</f>
        <v>3</v>
      </c>
      <c r="Z149">
        <f>Y149*(1+$AC149/Keys!$C$7^ROUNDUP((Z$112-Keys!$C$6)/Keys!$C$8,0))</f>
        <v>3</v>
      </c>
      <c r="AA149">
        <f>Z149*(1+$AC149/Keys!$C$7^ROUNDUP((AA$112-Keys!$C$6)/Keys!$C$8,0))</f>
        <v>3</v>
      </c>
      <c r="AB149">
        <f>AA149*(1+$AC149/Keys!$C$7^ROUNDUP((AB$112-Keys!$C$6)/Keys!$C$8,0))</f>
        <v>3</v>
      </c>
      <c r="AC149">
        <f>IFERROR((EPRI_PI2026!$J$40/EPRI_PI2026!$F$40)^(1/6)-1,0)</f>
        <v>0</v>
      </c>
    </row>
    <row r="150" spans="1:29" x14ac:dyDescent="0.45">
      <c r="A150" t="s">
        <v>99</v>
      </c>
      <c r="B150">
        <f>IFERROR(EPRI_PI2026!$F$41,0)</f>
        <v>551</v>
      </c>
      <c r="C150">
        <f t="shared" si="15"/>
        <v>688.48223321756382</v>
      </c>
      <c r="D150">
        <f t="shared" si="15"/>
        <v>860.26821316922667</v>
      </c>
      <c r="E150">
        <f t="shared" si="15"/>
        <v>1074.9172061140334</v>
      </c>
      <c r="F150">
        <f t="shared" si="15"/>
        <v>1343.1241353709149</v>
      </c>
      <c r="G150">
        <f t="shared" si="15"/>
        <v>1678.2524577288148</v>
      </c>
      <c r="H150">
        <f t="shared" si="15"/>
        <v>2096.9999999999991</v>
      </c>
      <c r="I150">
        <f>H150*(1+$AC150/Keys!$C$7^ROUNDUP((I$112-Keys!$C$6)/Keys!$C$8,0))</f>
        <v>2227.8077327845867</v>
      </c>
      <c r="J150">
        <f>I150*(1+$AC150/Keys!$C$7^ROUNDUP((J$112-Keys!$C$6)/Keys!$C$8,0))</f>
        <v>2366.7750568692431</v>
      </c>
      <c r="K150">
        <f>J150*(1+$AC150/Keys!$C$7^ROUNDUP((K$112-Keys!$C$6)/Keys!$C$8,0))</f>
        <v>2514.4109553910266</v>
      </c>
      <c r="L150">
        <f>K150*(1+$AC150/Keys!$C$7^ROUNDUP((L$112-Keys!$C$6)/Keys!$C$8,0))</f>
        <v>2671.2561610960479</v>
      </c>
      <c r="M150">
        <f>L150*(1+$AC150/Keys!$C$7^ROUNDUP((M$112-Keys!$C$6)/Keys!$C$8,0))</f>
        <v>2837.8851368327364</v>
      </c>
      <c r="N150">
        <f>M150*(1+$AC150/Keys!$C$7^ROUNDUP((N$112-Keys!$C$6)/Keys!$C$8,0))</f>
        <v>2882.1408975208824</v>
      </c>
      <c r="O150">
        <f>N150*(1+$AC150/Keys!$C$7^ROUNDUP((O$112-Keys!$C$6)/Keys!$C$8,0))</f>
        <v>2927.0868102975205</v>
      </c>
      <c r="P150">
        <f>O150*(1+$AC150/Keys!$C$7^ROUNDUP((P$112-Keys!$C$6)/Keys!$C$8,0))</f>
        <v>2972.7336378271684</v>
      </c>
      <c r="Q150">
        <f>P150*(1+$AC150/Keys!$C$7^ROUNDUP((Q$112-Keys!$C$6)/Keys!$C$8,0))</f>
        <v>3019.092310614084</v>
      </c>
      <c r="R150">
        <f>Q150*(1+$AC150/Keys!$C$7^ROUNDUP((R$112-Keys!$C$6)/Keys!$C$8,0))</f>
        <v>3066.1739296196642</v>
      </c>
      <c r="S150">
        <f>R150*(1+$AC150/Keys!$C$7^ROUNDUP((S$112-Keys!$C$6)/Keys!$C$8,0))</f>
        <v>3078.1278894449133</v>
      </c>
      <c r="T150">
        <f>S150*(1+$AC150/Keys!$C$7^ROUNDUP((T$112-Keys!$C$6)/Keys!$C$8,0))</f>
        <v>3090.1284536568614</v>
      </c>
      <c r="U150">
        <f>T150*(1+$AC150/Keys!$C$7^ROUNDUP((U$112-Keys!$C$6)/Keys!$C$8,0))</f>
        <v>3102.1758039500182</v>
      </c>
      <c r="V150">
        <f>U150*(1+$AC150/Keys!$C$7^ROUNDUP((V$112-Keys!$C$6)/Keys!$C$8,0))</f>
        <v>3114.2701227272564</v>
      </c>
      <c r="W150">
        <f>V150*(1+$AC150/Keys!$C$7^ROUNDUP((W$112-Keys!$C$6)/Keys!$C$8,0))</f>
        <v>3126.4115931025763</v>
      </c>
      <c r="X150">
        <f>W150*(1+$AC150/Keys!$C$7^ROUNDUP((X$112-Keys!$C$6)/Keys!$C$8,0))</f>
        <v>3129.4587945529011</v>
      </c>
      <c r="Y150">
        <f>X150*(1+$AC150/Keys!$C$7^ROUNDUP((Y$112-Keys!$C$6)/Keys!$C$8,0))</f>
        <v>3132.5089660013859</v>
      </c>
      <c r="Z150">
        <f>Y150*(1+$AC150/Keys!$C$7^ROUNDUP((Z$112-Keys!$C$6)/Keys!$C$8,0))</f>
        <v>3135.5621103427816</v>
      </c>
      <c r="AA150">
        <f>Z150*(1+$AC150/Keys!$C$7^ROUNDUP((AA$112-Keys!$C$6)/Keys!$C$8,0))</f>
        <v>3138.6182304746603</v>
      </c>
      <c r="AB150">
        <f>AA150*(1+$AC150/Keys!$C$7^ROUNDUP((AB$112-Keys!$C$6)/Keys!$C$8,0))</f>
        <v>3141.677329297419</v>
      </c>
      <c r="AC150">
        <f>IFERROR((EPRI_PI2026!$J$41/EPRI_PI2026!$F$41)^(1/6)-1,0)</f>
        <v>0.24951403487761126</v>
      </c>
    </row>
    <row r="151" spans="1:29" x14ac:dyDescent="0.45">
      <c r="A151" t="s">
        <v>101</v>
      </c>
      <c r="B151">
        <f>IFERROR(EPRI_PI2026!$F$42,0)</f>
        <v>30</v>
      </c>
      <c r="C151">
        <f t="shared" si="15"/>
        <v>31.205535886615984</v>
      </c>
      <c r="D151">
        <f t="shared" si="15"/>
        <v>32.459515665695932</v>
      </c>
      <c r="E151">
        <f t="shared" si="15"/>
        <v>33.763886032268267</v>
      </c>
      <c r="F151">
        <f t="shared" si="15"/>
        <v>35.120671908385319</v>
      </c>
      <c r="G151">
        <f t="shared" si="15"/>
        <v>36.531979586639466</v>
      </c>
      <c r="H151">
        <f t="shared" si="15"/>
        <v>38.000000000000014</v>
      </c>
      <c r="I151">
        <f>H151*(1+$AC151/Keys!$C$7^ROUNDUP((I$112-Keys!$C$6)/Keys!$C$8,0))</f>
        <v>38.381753030761736</v>
      </c>
      <c r="J151">
        <f>I151*(1+$AC151/Keys!$C$7^ROUNDUP((J$112-Keys!$C$6)/Keys!$C$8,0))</f>
        <v>38.76734120301019</v>
      </c>
      <c r="K151">
        <f>J151*(1+$AC151/Keys!$C$7^ROUNDUP((K$112-Keys!$C$6)/Keys!$C$8,0))</f>
        <v>39.15680304508448</v>
      </c>
      <c r="L151">
        <f>K151*(1+$AC151/Keys!$C$7^ROUNDUP((L$112-Keys!$C$6)/Keys!$C$8,0))</f>
        <v>39.550177472384505</v>
      </c>
      <c r="M151">
        <f>L151*(1+$AC151/Keys!$C$7^ROUNDUP((M$112-Keys!$C$6)/Keys!$C$8,0))</f>
        <v>39.947503791259422</v>
      </c>
      <c r="N151">
        <f>M151*(1+$AC151/Keys!$C$7^ROUNDUP((N$112-Keys!$C$6)/Keys!$C$8,0))</f>
        <v>40.047833269178362</v>
      </c>
      <c r="O151">
        <f>N151*(1+$AC151/Keys!$C$7^ROUNDUP((O$112-Keys!$C$6)/Keys!$C$8,0))</f>
        <v>40.148414727901709</v>
      </c>
      <c r="P151">
        <f>O151*(1+$AC151/Keys!$C$7^ROUNDUP((P$112-Keys!$C$6)/Keys!$C$8,0))</f>
        <v>40.249248800287596</v>
      </c>
      <c r="Q151">
        <f>P151*(1+$AC151/Keys!$C$7^ROUNDUP((Q$112-Keys!$C$6)/Keys!$C$8,0))</f>
        <v>40.350336120783602</v>
      </c>
      <c r="R151">
        <f>Q151*(1+$AC151/Keys!$C$7^ROUNDUP((R$112-Keys!$C$6)/Keys!$C$8,0))</f>
        <v>40.45167732543073</v>
      </c>
      <c r="S151">
        <f>R151*(1+$AC151/Keys!$C$7^ROUNDUP((S$112-Keys!$C$6)/Keys!$C$8,0))</f>
        <v>40.477076257039904</v>
      </c>
      <c r="T151">
        <f>S151*(1+$AC151/Keys!$C$7^ROUNDUP((T$112-Keys!$C$6)/Keys!$C$8,0))</f>
        <v>40.502491136213422</v>
      </c>
      <c r="U151">
        <f>T151*(1+$AC151/Keys!$C$7^ROUNDUP((U$112-Keys!$C$6)/Keys!$C$8,0))</f>
        <v>40.527921972964492</v>
      </c>
      <c r="V151">
        <f>U151*(1+$AC151/Keys!$C$7^ROUNDUP((V$112-Keys!$C$6)/Keys!$C$8,0))</f>
        <v>40.553368777312606</v>
      </c>
      <c r="W151">
        <f>V151*(1+$AC151/Keys!$C$7^ROUNDUP((W$112-Keys!$C$6)/Keys!$C$8,0))</f>
        <v>40.578831559283557</v>
      </c>
      <c r="X151">
        <f>W151*(1+$AC151/Keys!$C$7^ROUNDUP((X$112-Keys!$C$6)/Keys!$C$8,0))</f>
        <v>40.585201251690023</v>
      </c>
      <c r="Y151">
        <f>X151*(1+$AC151/Keys!$C$7^ROUNDUP((Y$112-Keys!$C$6)/Keys!$C$8,0))</f>
        <v>40.591571943952324</v>
      </c>
      <c r="Z151">
        <f>Y151*(1+$AC151/Keys!$C$7^ROUNDUP((Z$112-Keys!$C$6)/Keys!$C$8,0))</f>
        <v>40.597943636227399</v>
      </c>
      <c r="AA151">
        <f>Z151*(1+$AC151/Keys!$C$7^ROUNDUP((AA$112-Keys!$C$6)/Keys!$C$8,0))</f>
        <v>40.604316328672226</v>
      </c>
      <c r="AB151">
        <f>AA151*(1+$AC151/Keys!$C$7^ROUNDUP((AB$112-Keys!$C$6)/Keys!$C$8,0))</f>
        <v>40.610690021443808</v>
      </c>
      <c r="AC151">
        <f>IFERROR((EPRI_PI2026!$J$42/EPRI_PI2026!$F$42)^(1/6)-1,0)</f>
        <v>4.0184529553866088E-2</v>
      </c>
    </row>
    <row r="152" spans="1:29" x14ac:dyDescent="0.45">
      <c r="A152" t="s">
        <v>103</v>
      </c>
      <c r="B152">
        <f>IFERROR(EPRI_PI2026!$F$43,0)</f>
        <v>755</v>
      </c>
      <c r="C152">
        <f t="shared" si="15"/>
        <v>849.04159262256837</v>
      </c>
      <c r="D152">
        <f t="shared" si="15"/>
        <v>954.79685563320186</v>
      </c>
      <c r="E152">
        <f t="shared" si="15"/>
        <v>1073.7248250832242</v>
      </c>
      <c r="F152">
        <f t="shared" si="15"/>
        <v>1207.4662722212574</v>
      </c>
      <c r="G152">
        <f t="shared" si="15"/>
        <v>1357.866340138771</v>
      </c>
      <c r="H152">
        <f t="shared" si="15"/>
        <v>1527.0000000000005</v>
      </c>
      <c r="I152">
        <f>H152*(1+$AC152/Keys!$C$7^ROUNDUP((I$112-Keys!$C$6)/Keys!$C$8,0))</f>
        <v>1574.5501695147891</v>
      </c>
      <c r="J152">
        <f>I152*(1+$AC152/Keys!$C$7^ROUNDUP((J$112-Keys!$C$6)/Keys!$C$8,0))</f>
        <v>1623.5810322980028</v>
      </c>
      <c r="K152">
        <f>J152*(1+$AC152/Keys!$C$7^ROUNDUP((K$112-Keys!$C$6)/Keys!$C$8,0))</f>
        <v>1674.1386965460483</v>
      </c>
      <c r="L152">
        <f>K152*(1+$AC152/Keys!$C$7^ROUNDUP((L$112-Keys!$C$6)/Keys!$C$8,0))</f>
        <v>1726.2707062461345</v>
      </c>
      <c r="M152">
        <f>L152*(1+$AC152/Keys!$C$7^ROUNDUP((M$112-Keys!$C$6)/Keys!$C$8,0))</f>
        <v>1780.0260858862246</v>
      </c>
      <c r="N152">
        <f>M152*(1+$AC152/Keys!$C$7^ROUNDUP((N$112-Keys!$C$6)/Keys!$C$8,0))</f>
        <v>1793.8834110539776</v>
      </c>
      <c r="O152">
        <f>N152*(1+$AC152/Keys!$C$7^ROUNDUP((O$112-Keys!$C$6)/Keys!$C$8,0))</f>
        <v>1807.8486141131432</v>
      </c>
      <c r="P152">
        <f>O152*(1+$AC152/Keys!$C$7^ROUNDUP((P$112-Keys!$C$6)/Keys!$C$8,0))</f>
        <v>1821.9225348823238</v>
      </c>
      <c r="Q152">
        <f>P152*(1+$AC152/Keys!$C$7^ROUNDUP((Q$112-Keys!$C$6)/Keys!$C$8,0))</f>
        <v>1836.1060197180259</v>
      </c>
      <c r="R152">
        <f>Q152*(1+$AC152/Keys!$C$7^ROUNDUP((R$112-Keys!$C$6)/Keys!$C$8,0))</f>
        <v>1850.3999215655563</v>
      </c>
      <c r="S152">
        <f>R152*(1+$AC152/Keys!$C$7^ROUNDUP((S$112-Keys!$C$6)/Keys!$C$8,0))</f>
        <v>1854.0012161767463</v>
      </c>
      <c r="T152">
        <f>S152*(1+$AC152/Keys!$C$7^ROUNDUP((T$112-Keys!$C$6)/Keys!$C$8,0))</f>
        <v>1857.6095197175875</v>
      </c>
      <c r="U152">
        <f>T152*(1+$AC152/Keys!$C$7^ROUNDUP((U$112-Keys!$C$6)/Keys!$C$8,0))</f>
        <v>1861.2248458290339</v>
      </c>
      <c r="V152">
        <f>U152*(1+$AC152/Keys!$C$7^ROUNDUP((V$112-Keys!$C$6)/Keys!$C$8,0))</f>
        <v>1864.8472081785883</v>
      </c>
      <c r="W152">
        <f>V152*(1+$AC152/Keys!$C$7^ROUNDUP((W$112-Keys!$C$6)/Keys!$C$8,0))</f>
        <v>1868.4766204603529</v>
      </c>
      <c r="X152">
        <f>W152*(1+$AC152/Keys!$C$7^ROUNDUP((X$112-Keys!$C$6)/Keys!$C$8,0))</f>
        <v>1869.3857394440352</v>
      </c>
      <c r="Y152">
        <f>X152*(1+$AC152/Keys!$C$7^ROUNDUP((Y$112-Keys!$C$6)/Keys!$C$8,0))</f>
        <v>1870.2953007652438</v>
      </c>
      <c r="Z152">
        <f>Y152*(1+$AC152/Keys!$C$7^ROUNDUP((Z$112-Keys!$C$6)/Keys!$C$8,0))</f>
        <v>1871.2053046392011</v>
      </c>
      <c r="AA152">
        <f>Z152*(1+$AC152/Keys!$C$7^ROUNDUP((AA$112-Keys!$C$6)/Keys!$C$8,0))</f>
        <v>1872.1157512812338</v>
      </c>
      <c r="AB152">
        <f>AA152*(1+$AC152/Keys!$C$7^ROUNDUP((AB$112-Keys!$C$6)/Keys!$C$8,0))</f>
        <v>1873.0266409067733</v>
      </c>
      <c r="AC152">
        <f>IFERROR((EPRI_PI2026!$J$43/EPRI_PI2026!$F$43)^(1/6)-1,0)</f>
        <v>0.12455840082459391</v>
      </c>
    </row>
    <row r="153" spans="1:29" x14ac:dyDescent="0.45">
      <c r="A153" t="s">
        <v>105</v>
      </c>
      <c r="B153">
        <f>IFERROR(EPRI_PI2026!$F$44,0)</f>
        <v>7315</v>
      </c>
      <c r="C153">
        <f t="shared" ref="C153:H162" si="16">B153*(1+$AC153)</f>
        <v>8712.3869857093869</v>
      </c>
      <c r="D153">
        <f t="shared" si="16"/>
        <v>10376.717291696281</v>
      </c>
      <c r="E153">
        <f t="shared" si="16"/>
        <v>12358.985192967906</v>
      </c>
      <c r="F153">
        <f t="shared" si="16"/>
        <v>14719.926418563036</v>
      </c>
      <c r="G153">
        <f t="shared" si="16"/>
        <v>17531.879064892466</v>
      </c>
      <c r="H153">
        <f t="shared" si="16"/>
        <v>20880.999999999996</v>
      </c>
      <c r="I153">
        <f>H153*(1+$AC153/Keys!$C$7^ROUNDUP((I$112-Keys!$C$6)/Keys!$C$8,0))</f>
        <v>21878.226167074423</v>
      </c>
      <c r="J153">
        <f>I153*(1+$AC153/Keys!$C$7^ROUNDUP((J$112-Keys!$C$6)/Keys!$C$8,0))</f>
        <v>22923.07744924381</v>
      </c>
      <c r="K153">
        <f>J153*(1+$AC153/Keys!$C$7^ROUNDUP((K$112-Keys!$C$6)/Keys!$C$8,0))</f>
        <v>24017.828307069565</v>
      </c>
      <c r="L153">
        <f>K153*(1+$AC153/Keys!$C$7^ROUNDUP((L$112-Keys!$C$6)/Keys!$C$8,0))</f>
        <v>25164.861823860458</v>
      </c>
      <c r="M153">
        <f>L153*(1+$AC153/Keys!$C$7^ROUNDUP((M$112-Keys!$C$6)/Keys!$C$8,0))</f>
        <v>26366.674893232896</v>
      </c>
      <c r="N153">
        <f>M153*(1+$AC153/Keys!$C$7^ROUNDUP((N$112-Keys!$C$6)/Keys!$C$8,0))</f>
        <v>26681.477083528815</v>
      </c>
      <c r="O153">
        <f>N153*(1+$AC153/Keys!$C$7^ROUNDUP((O$112-Keys!$C$6)/Keys!$C$8,0))</f>
        <v>27000.03782204579</v>
      </c>
      <c r="P153">
        <f>O153*(1+$AC153/Keys!$C$7^ROUNDUP((P$112-Keys!$C$6)/Keys!$C$8,0))</f>
        <v>27322.401983581916</v>
      </c>
      <c r="Q153">
        <f>P153*(1+$AC153/Keys!$C$7^ROUNDUP((Q$112-Keys!$C$6)/Keys!$C$8,0))</f>
        <v>27648.614978713307</v>
      </c>
      <c r="R153">
        <f>Q153*(1+$AC153/Keys!$C$7^ROUNDUP((R$112-Keys!$C$6)/Keys!$C$8,0))</f>
        <v>27978.722760190954</v>
      </c>
      <c r="S153">
        <f>R153*(1+$AC153/Keys!$C$7^ROUNDUP((S$112-Keys!$C$6)/Keys!$C$8,0))</f>
        <v>28062.235027496707</v>
      </c>
      <c r="T153">
        <f>S153*(1+$AC153/Keys!$C$7^ROUNDUP((T$112-Keys!$C$6)/Keys!$C$8,0))</f>
        <v>28145.996566323905</v>
      </c>
      <c r="U153">
        <f>T153*(1+$AC153/Keys!$C$7^ROUNDUP((U$112-Keys!$C$6)/Keys!$C$8,0))</f>
        <v>28230.008120710445</v>
      </c>
      <c r="V153">
        <f>U153*(1+$AC153/Keys!$C$7^ROUNDUP((V$112-Keys!$C$6)/Keys!$C$8,0))</f>
        <v>28314.270436915056</v>
      </c>
      <c r="W153">
        <f>V153*(1+$AC153/Keys!$C$7^ROUNDUP((W$112-Keys!$C$6)/Keys!$C$8,0))</f>
        <v>28398.784263423942</v>
      </c>
      <c r="X153">
        <f>W153*(1+$AC153/Keys!$C$7^ROUNDUP((X$112-Keys!$C$6)/Keys!$C$8,0))</f>
        <v>28419.975785307313</v>
      </c>
      <c r="Y153">
        <f>X153*(1+$AC153/Keys!$C$7^ROUNDUP((Y$112-Keys!$C$6)/Keys!$C$8,0))</f>
        <v>28441.18312056479</v>
      </c>
      <c r="Z153">
        <f>Y153*(1+$AC153/Keys!$C$7^ROUNDUP((Z$112-Keys!$C$6)/Keys!$C$8,0))</f>
        <v>28462.406280996511</v>
      </c>
      <c r="AA153">
        <f>Z153*(1+$AC153/Keys!$C$7^ROUNDUP((AA$112-Keys!$C$6)/Keys!$C$8,0))</f>
        <v>28483.645278411412</v>
      </c>
      <c r="AB153">
        <f>AA153*(1+$AC153/Keys!$C$7^ROUNDUP((AB$112-Keys!$C$6)/Keys!$C$8,0))</f>
        <v>28504.900124627242</v>
      </c>
      <c r="AC153">
        <f>IFERROR((EPRI_PI2026!$J$44/EPRI_PI2026!$F$44)^(1/6)-1,0)</f>
        <v>0.19103034664516572</v>
      </c>
    </row>
    <row r="154" spans="1:29" x14ac:dyDescent="0.45">
      <c r="A154" t="s">
        <v>107</v>
      </c>
      <c r="B154">
        <f>IFERROR(EPRI_PI2026!$F$45,0)</f>
        <v>497</v>
      </c>
      <c r="C154">
        <f t="shared" si="16"/>
        <v>579.96832907599719</v>
      </c>
      <c r="D154">
        <f t="shared" si="16"/>
        <v>676.78724895614516</v>
      </c>
      <c r="E154">
        <f t="shared" si="16"/>
        <v>789.76895355540535</v>
      </c>
      <c r="F154">
        <f t="shared" si="16"/>
        <v>921.61163048214746</v>
      </c>
      <c r="G154">
        <f t="shared" si="16"/>
        <v>1075.4638981644596</v>
      </c>
      <c r="H154">
        <f t="shared" si="16"/>
        <v>1255</v>
      </c>
      <c r="I154">
        <f>H154*(1+$AC154/Keys!$C$7^ROUNDUP((I$112-Keys!$C$6)/Keys!$C$8,0))</f>
        <v>1307.3768878221208</v>
      </c>
      <c r="J154">
        <f>I154*(1+$AC154/Keys!$C$7^ROUNDUP((J$112-Keys!$C$6)/Keys!$C$8,0))</f>
        <v>1361.9397026386091</v>
      </c>
      <c r="K154">
        <f>J154*(1+$AC154/Keys!$C$7^ROUNDUP((K$112-Keys!$C$6)/Keys!$C$8,0))</f>
        <v>1418.779673176932</v>
      </c>
      <c r="L154">
        <f>K154*(1+$AC154/Keys!$C$7^ROUNDUP((L$112-Keys!$C$6)/Keys!$C$8,0))</f>
        <v>1477.9918355564487</v>
      </c>
      <c r="M154">
        <f>L154*(1+$AC154/Keys!$C$7^ROUNDUP((M$112-Keys!$C$6)/Keys!$C$8,0))</f>
        <v>1539.6751921882819</v>
      </c>
      <c r="N154">
        <f>M154*(1+$AC154/Keys!$C$7^ROUNDUP((N$112-Keys!$C$6)/Keys!$C$8,0))</f>
        <v>1555.7396134679129</v>
      </c>
      <c r="O154">
        <f>N154*(1+$AC154/Keys!$C$7^ROUNDUP((O$112-Keys!$C$6)/Keys!$C$8,0))</f>
        <v>1571.9716451840559</v>
      </c>
      <c r="P154">
        <f>O154*(1+$AC154/Keys!$C$7^ROUNDUP((P$112-Keys!$C$6)/Keys!$C$8,0))</f>
        <v>1588.3730361241674</v>
      </c>
      <c r="Q154">
        <f>P154*(1+$AC154/Keys!$C$7^ROUNDUP((Q$112-Keys!$C$6)/Keys!$C$8,0))</f>
        <v>1604.9455533219277</v>
      </c>
      <c r="R154">
        <f>Q154*(1+$AC154/Keys!$C$7^ROUNDUP((R$112-Keys!$C$6)/Keys!$C$8,0))</f>
        <v>1621.6909822476157</v>
      </c>
      <c r="S154">
        <f>R154*(1+$AC154/Keys!$C$7^ROUNDUP((S$112-Keys!$C$6)/Keys!$C$8,0))</f>
        <v>1625.9210184358294</v>
      </c>
      <c r="T154">
        <f>S154*(1+$AC154/Keys!$C$7^ROUNDUP((T$112-Keys!$C$6)/Keys!$C$8,0))</f>
        <v>1630.1620882959014</v>
      </c>
      <c r="U154">
        <f>T154*(1+$AC154/Keys!$C$7^ROUNDUP((U$112-Keys!$C$6)/Keys!$C$8,0))</f>
        <v>1634.4142206081799</v>
      </c>
      <c r="V154">
        <f>U154*(1+$AC154/Keys!$C$7^ROUNDUP((V$112-Keys!$C$6)/Keys!$C$8,0))</f>
        <v>1638.6774442280841</v>
      </c>
      <c r="W154">
        <f>V154*(1+$AC154/Keys!$C$7^ROUNDUP((W$112-Keys!$C$6)/Keys!$C$8,0))</f>
        <v>1642.9517880863002</v>
      </c>
      <c r="X154">
        <f>W154*(1+$AC154/Keys!$C$7^ROUNDUP((X$112-Keys!$C$6)/Keys!$C$8,0))</f>
        <v>1644.0231613619692</v>
      </c>
      <c r="Y154">
        <f>X154*(1+$AC154/Keys!$C$7^ROUNDUP((Y$112-Keys!$C$6)/Keys!$C$8,0))</f>
        <v>1645.0952332830302</v>
      </c>
      <c r="Z154">
        <f>Y154*(1+$AC154/Keys!$C$7^ROUNDUP((Z$112-Keys!$C$6)/Keys!$C$8,0))</f>
        <v>1646.1680043050715</v>
      </c>
      <c r="AA154">
        <f>Z154*(1+$AC154/Keys!$C$7^ROUNDUP((AA$112-Keys!$C$6)/Keys!$C$8,0))</f>
        <v>1647.2414748839788</v>
      </c>
      <c r="AB154">
        <f>AA154*(1+$AC154/Keys!$C$7^ROUNDUP((AB$112-Keys!$C$6)/Keys!$C$8,0))</f>
        <v>1648.3156454759351</v>
      </c>
      <c r="AC154">
        <f>IFERROR((EPRI_PI2026!$J$45/EPRI_PI2026!$F$45)^(1/6)-1,0)</f>
        <v>0.16693828787927001</v>
      </c>
    </row>
    <row r="155" spans="1:29" x14ac:dyDescent="0.45">
      <c r="A155" t="s">
        <v>109</v>
      </c>
      <c r="B155">
        <f>IFERROR(EPRI_PI2026!$F$46,0)</f>
        <v>2</v>
      </c>
      <c r="C155">
        <f t="shared" si="16"/>
        <v>2</v>
      </c>
      <c r="D155">
        <f t="shared" si="16"/>
        <v>2</v>
      </c>
      <c r="E155">
        <f t="shared" si="16"/>
        <v>2</v>
      </c>
      <c r="F155">
        <f t="shared" si="16"/>
        <v>2</v>
      </c>
      <c r="G155">
        <f t="shared" si="16"/>
        <v>2</v>
      </c>
      <c r="H155">
        <f t="shared" si="16"/>
        <v>2</v>
      </c>
      <c r="I155">
        <f>H155*(1+$AC155/Keys!$C$7^ROUNDUP((I$112-Keys!$C$6)/Keys!$C$8,0))</f>
        <v>2</v>
      </c>
      <c r="J155">
        <f>I155*(1+$AC155/Keys!$C$7^ROUNDUP((J$112-Keys!$C$6)/Keys!$C$8,0))</f>
        <v>2</v>
      </c>
      <c r="K155">
        <f>J155*(1+$AC155/Keys!$C$7^ROUNDUP((K$112-Keys!$C$6)/Keys!$C$8,0))</f>
        <v>2</v>
      </c>
      <c r="L155">
        <f>K155*(1+$AC155/Keys!$C$7^ROUNDUP((L$112-Keys!$C$6)/Keys!$C$8,0))</f>
        <v>2</v>
      </c>
      <c r="M155">
        <f>L155*(1+$AC155/Keys!$C$7^ROUNDUP((M$112-Keys!$C$6)/Keys!$C$8,0))</f>
        <v>2</v>
      </c>
      <c r="N155">
        <f>M155*(1+$AC155/Keys!$C$7^ROUNDUP((N$112-Keys!$C$6)/Keys!$C$8,0))</f>
        <v>2</v>
      </c>
      <c r="O155">
        <f>N155*(1+$AC155/Keys!$C$7^ROUNDUP((O$112-Keys!$C$6)/Keys!$C$8,0))</f>
        <v>2</v>
      </c>
      <c r="P155">
        <f>O155*(1+$AC155/Keys!$C$7^ROUNDUP((P$112-Keys!$C$6)/Keys!$C$8,0))</f>
        <v>2</v>
      </c>
      <c r="Q155">
        <f>P155*(1+$AC155/Keys!$C$7^ROUNDUP((Q$112-Keys!$C$6)/Keys!$C$8,0))</f>
        <v>2</v>
      </c>
      <c r="R155">
        <f>Q155*(1+$AC155/Keys!$C$7^ROUNDUP((R$112-Keys!$C$6)/Keys!$C$8,0))</f>
        <v>2</v>
      </c>
      <c r="S155">
        <f>R155*(1+$AC155/Keys!$C$7^ROUNDUP((S$112-Keys!$C$6)/Keys!$C$8,0))</f>
        <v>2</v>
      </c>
      <c r="T155">
        <f>S155*(1+$AC155/Keys!$C$7^ROUNDUP((T$112-Keys!$C$6)/Keys!$C$8,0))</f>
        <v>2</v>
      </c>
      <c r="U155">
        <f>T155*(1+$AC155/Keys!$C$7^ROUNDUP((U$112-Keys!$C$6)/Keys!$C$8,0))</f>
        <v>2</v>
      </c>
      <c r="V155">
        <f>U155*(1+$AC155/Keys!$C$7^ROUNDUP((V$112-Keys!$C$6)/Keys!$C$8,0))</f>
        <v>2</v>
      </c>
      <c r="W155">
        <f>V155*(1+$AC155/Keys!$C$7^ROUNDUP((W$112-Keys!$C$6)/Keys!$C$8,0))</f>
        <v>2</v>
      </c>
      <c r="X155">
        <f>W155*(1+$AC155/Keys!$C$7^ROUNDUP((X$112-Keys!$C$6)/Keys!$C$8,0))</f>
        <v>2</v>
      </c>
      <c r="Y155">
        <f>X155*(1+$AC155/Keys!$C$7^ROUNDUP((Y$112-Keys!$C$6)/Keys!$C$8,0))</f>
        <v>2</v>
      </c>
      <c r="Z155">
        <f>Y155*(1+$AC155/Keys!$C$7^ROUNDUP((Z$112-Keys!$C$6)/Keys!$C$8,0))</f>
        <v>2</v>
      </c>
      <c r="AA155">
        <f>Z155*(1+$AC155/Keys!$C$7^ROUNDUP((AA$112-Keys!$C$6)/Keys!$C$8,0))</f>
        <v>2</v>
      </c>
      <c r="AB155">
        <f>AA155*(1+$AC155/Keys!$C$7^ROUNDUP((AB$112-Keys!$C$6)/Keys!$C$8,0))</f>
        <v>2</v>
      </c>
      <c r="AC155">
        <f>IFERROR((EPRI_PI2026!$J$46/EPRI_PI2026!$F$46)^(1/6)-1,0)</f>
        <v>0</v>
      </c>
    </row>
    <row r="156" spans="1:29" x14ac:dyDescent="0.45">
      <c r="A156" t="s">
        <v>111</v>
      </c>
      <c r="B156">
        <f>IFERROR(EPRI_PI2026!$F$47,0)</f>
        <v>6367</v>
      </c>
      <c r="C156">
        <f t="shared" si="16"/>
        <v>8194.7139439244111</v>
      </c>
      <c r="D156">
        <f t="shared" si="16"/>
        <v>10547.092291934847</v>
      </c>
      <c r="E156">
        <f t="shared" si="16"/>
        <v>13574.745448810454</v>
      </c>
      <c r="F156">
        <f t="shared" si="16"/>
        <v>17471.518111291261</v>
      </c>
      <c r="G156">
        <f t="shared" si="16"/>
        <v>22486.900123783002</v>
      </c>
      <c r="H156">
        <f t="shared" si="16"/>
        <v>28942.000000000018</v>
      </c>
      <c r="I156">
        <f>H156*(1+$AC156/Keys!$C$7^ROUNDUP((I$112-Keys!$C$6)/Keys!$C$8,0))</f>
        <v>31019.025952766642</v>
      </c>
      <c r="J156">
        <f>I156*(1+$AC156/Keys!$C$7^ROUNDUP((J$112-Keys!$C$6)/Keys!$C$8,0))</f>
        <v>33245.109911492291</v>
      </c>
      <c r="K156">
        <f>J156*(1+$AC156/Keys!$C$7^ROUNDUP((K$112-Keys!$C$6)/Keys!$C$8,0))</f>
        <v>35630.949041087631</v>
      </c>
      <c r="L156">
        <f>K156*(1+$AC156/Keys!$C$7^ROUNDUP((L$112-Keys!$C$6)/Keys!$C$8,0))</f>
        <v>38188.008189731263</v>
      </c>
      <c r="M156">
        <f>L156*(1+$AC156/Keys!$C$7^ROUNDUP((M$112-Keys!$C$6)/Keys!$C$8,0))</f>
        <v>40928.574981747573</v>
      </c>
      <c r="N156">
        <f>M156*(1+$AC156/Keys!$C$7^ROUNDUP((N$112-Keys!$C$6)/Keys!$C$8,0))</f>
        <v>41662.88595236851</v>
      </c>
      <c r="O156">
        <f>N156*(1+$AC156/Keys!$C$7^ROUNDUP((O$112-Keys!$C$6)/Keys!$C$8,0))</f>
        <v>42410.371400767246</v>
      </c>
      <c r="P156">
        <f>O156*(1+$AC156/Keys!$C$7^ROUNDUP((P$112-Keys!$C$6)/Keys!$C$8,0))</f>
        <v>43171.267693921356</v>
      </c>
      <c r="Q156">
        <f>P156*(1+$AC156/Keys!$C$7^ROUNDUP((Q$112-Keys!$C$6)/Keys!$C$8,0))</f>
        <v>43945.815439534221</v>
      </c>
      <c r="R156">
        <f>Q156*(1+$AC156/Keys!$C$7^ROUNDUP((R$112-Keys!$C$6)/Keys!$C$8,0))</f>
        <v>44734.259562119085</v>
      </c>
      <c r="S156">
        <f>R156*(1+$AC156/Keys!$C$7^ROUNDUP((S$112-Keys!$C$6)/Keys!$C$8,0))</f>
        <v>44934.907016701349</v>
      </c>
      <c r="T156">
        <f>S156*(1+$AC156/Keys!$C$7^ROUNDUP((T$112-Keys!$C$6)/Keys!$C$8,0))</f>
        <v>45136.454439259491</v>
      </c>
      <c r="U156">
        <f>T156*(1+$AC156/Keys!$C$7^ROUNDUP((U$112-Keys!$C$6)/Keys!$C$8,0))</f>
        <v>45338.905866437577</v>
      </c>
      <c r="V156">
        <f>U156*(1+$AC156/Keys!$C$7^ROUNDUP((V$112-Keys!$C$6)/Keys!$C$8,0))</f>
        <v>45542.265352985312</v>
      </c>
      <c r="W156">
        <f>V156*(1+$AC156/Keys!$C$7^ROUNDUP((W$112-Keys!$C$6)/Keys!$C$8,0))</f>
        <v>45746.536971839261</v>
      </c>
      <c r="X156">
        <f>W156*(1+$AC156/Keys!$C$7^ROUNDUP((X$112-Keys!$C$6)/Keys!$C$8,0))</f>
        <v>45797.833932430542</v>
      </c>
      <c r="Y156">
        <f>X156*(1+$AC156/Keys!$C$7^ROUNDUP((Y$112-Keys!$C$6)/Keys!$C$8,0))</f>
        <v>45849.188413838485</v>
      </c>
      <c r="Z156">
        <f>Y156*(1+$AC156/Keys!$C$7^ROUNDUP((Z$112-Keys!$C$6)/Keys!$C$8,0))</f>
        <v>45900.600480562898</v>
      </c>
      <c r="AA156">
        <f>Z156*(1+$AC156/Keys!$C$7^ROUNDUP((AA$112-Keys!$C$6)/Keys!$C$8,0))</f>
        <v>45952.070197175919</v>
      </c>
      <c r="AB156">
        <f>AA156*(1+$AC156/Keys!$C$7^ROUNDUP((AB$112-Keys!$C$6)/Keys!$C$8,0))</f>
        <v>46003.597628322095</v>
      </c>
      <c r="AC156">
        <f>IFERROR((EPRI_PI2026!$J$47/EPRI_PI2026!$F$47)^(1/6)-1,0)</f>
        <v>0.28706045923109946</v>
      </c>
    </row>
    <row r="157" spans="1:29" x14ac:dyDescent="0.45">
      <c r="A157" t="s">
        <v>113</v>
      </c>
      <c r="B157">
        <f>IFERROR(EPRI_PI2026!$F$48,0)</f>
        <v>1163</v>
      </c>
      <c r="C157">
        <f t="shared" si="16"/>
        <v>1208.8937007384454</v>
      </c>
      <c r="D157">
        <f t="shared" si="16"/>
        <v>1256.598434810915</v>
      </c>
      <c r="E157">
        <f t="shared" si="16"/>
        <v>1306.1856682723176</v>
      </c>
      <c r="F157">
        <f t="shared" si="16"/>
        <v>1357.7296873338275</v>
      </c>
      <c r="G157">
        <f t="shared" si="16"/>
        <v>1411.3077096504242</v>
      </c>
      <c r="H157">
        <f t="shared" si="16"/>
        <v>1467.0000000000007</v>
      </c>
      <c r="I157">
        <f>H157*(1+$AC157/Keys!$C$7^ROUNDUP((I$112-Keys!$C$6)/Keys!$C$8,0))</f>
        <v>1481.4724976318362</v>
      </c>
      <c r="J157">
        <f>I157*(1+$AC157/Keys!$C$7^ROUNDUP((J$112-Keys!$C$6)/Keys!$C$8,0))</f>
        <v>1496.0877718060735</v>
      </c>
      <c r="K157">
        <f>J157*(1+$AC157/Keys!$C$7^ROUNDUP((K$112-Keys!$C$6)/Keys!$C$8,0))</f>
        <v>1510.8472310661155</v>
      </c>
      <c r="L157">
        <f>K157*(1+$AC157/Keys!$C$7^ROUNDUP((L$112-Keys!$C$6)/Keys!$C$8,0))</f>
        <v>1525.7522978511663</v>
      </c>
      <c r="M157">
        <f>L157*(1+$AC157/Keys!$C$7^ROUNDUP((M$112-Keys!$C$6)/Keys!$C$8,0))</f>
        <v>1540.8044086333196</v>
      </c>
      <c r="N157">
        <f>M157*(1+$AC157/Keys!$C$7^ROUNDUP((N$112-Keys!$C$6)/Keys!$C$8,0))</f>
        <v>1544.6045599889887</v>
      </c>
      <c r="O157">
        <f>N157*(1+$AC157/Keys!$C$7^ROUNDUP((O$112-Keys!$C$6)/Keys!$C$8,0))</f>
        <v>1548.4140838193505</v>
      </c>
      <c r="P157">
        <f>O157*(1+$AC157/Keys!$C$7^ROUNDUP((P$112-Keys!$C$6)/Keys!$C$8,0))</f>
        <v>1552.2330032401371</v>
      </c>
      <c r="Q157">
        <f>P157*(1+$AC157/Keys!$C$7^ROUNDUP((Q$112-Keys!$C$6)/Keys!$C$8,0))</f>
        <v>1556.0613414240925</v>
      </c>
      <c r="R157">
        <f>Q157*(1+$AC157/Keys!$C$7^ROUNDUP((R$112-Keys!$C$6)/Keys!$C$8,0))</f>
        <v>1559.899121601112</v>
      </c>
      <c r="S157">
        <f>R157*(1+$AC157/Keys!$C$7^ROUNDUP((S$112-Keys!$C$6)/Keys!$C$8,0))</f>
        <v>1560.8609329654303</v>
      </c>
      <c r="T157">
        <f>S157*(1+$AC157/Keys!$C$7^ROUNDUP((T$112-Keys!$C$6)/Keys!$C$8,0))</f>
        <v>1561.8233373688031</v>
      </c>
      <c r="U157">
        <f>T157*(1+$AC157/Keys!$C$7^ROUNDUP((U$112-Keys!$C$6)/Keys!$C$8,0))</f>
        <v>1562.7863351768901</v>
      </c>
      <c r="V157">
        <f>U157*(1+$AC157/Keys!$C$7^ROUNDUP((V$112-Keys!$C$6)/Keys!$C$8,0))</f>
        <v>1563.7499267555759</v>
      </c>
      <c r="W157">
        <f>V157*(1+$AC157/Keys!$C$7^ROUNDUP((W$112-Keys!$C$6)/Keys!$C$8,0))</f>
        <v>1564.714112470971</v>
      </c>
      <c r="X157">
        <f>W157*(1+$AC157/Keys!$C$7^ROUNDUP((X$112-Keys!$C$6)/Keys!$C$8,0))</f>
        <v>1564.955307525581</v>
      </c>
      <c r="Y157">
        <f>X157*(1+$AC157/Keys!$C$7^ROUNDUP((Y$112-Keys!$C$6)/Keys!$C$8,0))</f>
        <v>1565.1965397595416</v>
      </c>
      <c r="Z157">
        <f>Y157*(1+$AC157/Keys!$C$7^ROUNDUP((Z$112-Keys!$C$6)/Keys!$C$8,0))</f>
        <v>1565.4378091785836</v>
      </c>
      <c r="AA157">
        <f>Z157*(1+$AC157/Keys!$C$7^ROUNDUP((AA$112-Keys!$C$6)/Keys!$C$8,0))</f>
        <v>1565.679115788439</v>
      </c>
      <c r="AB157">
        <f>AA157*(1+$AC157/Keys!$C$7^ROUNDUP((AB$112-Keys!$C$6)/Keys!$C$8,0))</f>
        <v>1565.9204595948408</v>
      </c>
      <c r="AC157">
        <f>IFERROR((EPRI_PI2026!$J$48/EPRI_PI2026!$F$48)^(1/6)-1,0)</f>
        <v>3.9461479568740687E-2</v>
      </c>
    </row>
    <row r="158" spans="1:29" x14ac:dyDescent="0.45">
      <c r="A158" t="s">
        <v>115</v>
      </c>
      <c r="B158">
        <v>0</v>
      </c>
      <c r="C158">
        <f t="shared" si="16"/>
        <v>0</v>
      </c>
      <c r="D158">
        <f t="shared" si="16"/>
        <v>0</v>
      </c>
      <c r="E158">
        <f t="shared" si="16"/>
        <v>0</v>
      </c>
      <c r="F158">
        <f t="shared" si="16"/>
        <v>0</v>
      </c>
      <c r="G158">
        <f t="shared" si="16"/>
        <v>0</v>
      </c>
      <c r="H158">
        <f t="shared" si="16"/>
        <v>0</v>
      </c>
      <c r="I158">
        <f>H158*(1+$AC158/Keys!$C$7^ROUNDUP((I$112-Keys!$C$6)/Keys!$C$8,0))</f>
        <v>0</v>
      </c>
      <c r="J158">
        <f>I158*(1+$AC158/Keys!$C$7^ROUNDUP((J$112-Keys!$C$6)/Keys!$C$8,0))</f>
        <v>0</v>
      </c>
      <c r="K158">
        <f>J158*(1+$AC158/Keys!$C$7^ROUNDUP((K$112-Keys!$C$6)/Keys!$C$8,0))</f>
        <v>0</v>
      </c>
      <c r="L158">
        <f>K158*(1+$AC158/Keys!$C$7^ROUNDUP((L$112-Keys!$C$6)/Keys!$C$8,0))</f>
        <v>0</v>
      </c>
      <c r="M158">
        <f>L158*(1+$AC158/Keys!$C$7^ROUNDUP((M$112-Keys!$C$6)/Keys!$C$8,0))</f>
        <v>0</v>
      </c>
      <c r="N158">
        <f>M158*(1+$AC158/Keys!$C$7^ROUNDUP((N$112-Keys!$C$6)/Keys!$C$8,0))</f>
        <v>0</v>
      </c>
      <c r="O158">
        <f>N158*(1+$AC158/Keys!$C$7^ROUNDUP((O$112-Keys!$C$6)/Keys!$C$8,0))</f>
        <v>0</v>
      </c>
      <c r="P158">
        <f>O158*(1+$AC158/Keys!$C$7^ROUNDUP((P$112-Keys!$C$6)/Keys!$C$8,0))</f>
        <v>0</v>
      </c>
      <c r="Q158">
        <f>P158*(1+$AC158/Keys!$C$7^ROUNDUP((Q$112-Keys!$C$6)/Keys!$C$8,0))</f>
        <v>0</v>
      </c>
      <c r="R158">
        <f>Q158*(1+$AC158/Keys!$C$7^ROUNDUP((R$112-Keys!$C$6)/Keys!$C$8,0))</f>
        <v>0</v>
      </c>
      <c r="S158">
        <f>R158*(1+$AC158/Keys!$C$7^ROUNDUP((S$112-Keys!$C$6)/Keys!$C$8,0))</f>
        <v>0</v>
      </c>
      <c r="T158">
        <f>S158*(1+$AC158/Keys!$C$7^ROUNDUP((T$112-Keys!$C$6)/Keys!$C$8,0))</f>
        <v>0</v>
      </c>
      <c r="U158">
        <f>T158*(1+$AC158/Keys!$C$7^ROUNDUP((U$112-Keys!$C$6)/Keys!$C$8,0))</f>
        <v>0</v>
      </c>
      <c r="V158">
        <f>U158*(1+$AC158/Keys!$C$7^ROUNDUP((V$112-Keys!$C$6)/Keys!$C$8,0))</f>
        <v>0</v>
      </c>
      <c r="W158">
        <f>V158*(1+$AC158/Keys!$C$7^ROUNDUP((W$112-Keys!$C$6)/Keys!$C$8,0))</f>
        <v>0</v>
      </c>
      <c r="X158">
        <f>W158*(1+$AC158/Keys!$C$7^ROUNDUP((X$112-Keys!$C$6)/Keys!$C$8,0))</f>
        <v>0</v>
      </c>
      <c r="Y158">
        <f>X158*(1+$AC158/Keys!$C$7^ROUNDUP((Y$112-Keys!$C$6)/Keys!$C$8,0))</f>
        <v>0</v>
      </c>
      <c r="Z158">
        <f>Y158*(1+$AC158/Keys!$C$7^ROUNDUP((Z$112-Keys!$C$6)/Keys!$C$8,0))</f>
        <v>0</v>
      </c>
      <c r="AA158">
        <f>Z158*(1+$AC158/Keys!$C$7^ROUNDUP((AA$112-Keys!$C$6)/Keys!$C$8,0))</f>
        <v>0</v>
      </c>
      <c r="AB158">
        <f>AA158*(1+$AC158/Keys!$C$7^ROUNDUP((AB$112-Keys!$C$6)/Keys!$C$8,0))</f>
        <v>0</v>
      </c>
      <c r="AC158">
        <v>0</v>
      </c>
    </row>
    <row r="159" spans="1:29" x14ac:dyDescent="0.45">
      <c r="A159" t="s">
        <v>117</v>
      </c>
      <c r="B159">
        <f>IFERROR(EPRI_PI2026!$F$49,0)</f>
        <v>83</v>
      </c>
      <c r="C159">
        <f t="shared" si="16"/>
        <v>122.1191460997527</v>
      </c>
      <c r="D159">
        <f t="shared" si="16"/>
        <v>179.6757330618403</v>
      </c>
      <c r="E159">
        <f t="shared" si="16"/>
        <v>264.35960357059088</v>
      </c>
      <c r="F159">
        <f t="shared" si="16"/>
        <v>388.95625363023726</v>
      </c>
      <c r="G159">
        <f t="shared" si="16"/>
        <v>572.27717546365557</v>
      </c>
      <c r="H159">
        <f t="shared" si="16"/>
        <v>841.99999999999955</v>
      </c>
      <c r="I159">
        <f>H159*(1+$AC159/Keys!$C$7^ROUNDUP((I$112-Keys!$C$6)/Keys!$C$8,0))</f>
        <v>941.21181028913134</v>
      </c>
      <c r="J159">
        <f>I159*(1+$AC159/Keys!$C$7^ROUNDUP((J$112-Keys!$C$6)/Keys!$C$8,0))</f>
        <v>1052.1136244985087</v>
      </c>
      <c r="K159">
        <f>J159*(1+$AC159/Keys!$C$7^ROUNDUP((K$112-Keys!$C$6)/Keys!$C$8,0))</f>
        <v>1176.0828612162722</v>
      </c>
      <c r="L159">
        <f>K159*(1+$AC159/Keys!$C$7^ROUNDUP((L$112-Keys!$C$6)/Keys!$C$8,0))</f>
        <v>1314.6592385455931</v>
      </c>
      <c r="M159">
        <f>L159*(1+$AC159/Keys!$C$7^ROUNDUP((M$112-Keys!$C$6)/Keys!$C$8,0))</f>
        <v>1469.5638976541916</v>
      </c>
      <c r="N159">
        <f>M159*(1+$AC159/Keys!$C$7^ROUNDUP((N$112-Keys!$C$6)/Keys!$C$8,0))</f>
        <v>1512.8531181476073</v>
      </c>
      <c r="O159">
        <f>N159*(1+$AC159/Keys!$C$7^ROUNDUP((O$112-Keys!$C$6)/Keys!$C$8,0))</f>
        <v>1557.4175173616754</v>
      </c>
      <c r="P159">
        <f>O159*(1+$AC159/Keys!$C$7^ROUNDUP((P$112-Keys!$C$6)/Keys!$C$8,0))</f>
        <v>1603.2946584761223</v>
      </c>
      <c r="Q159">
        <f>P159*(1+$AC159/Keys!$C$7^ROUNDUP((Q$112-Keys!$C$6)/Keys!$C$8,0))</f>
        <v>1650.5232111763335</v>
      </c>
      <c r="R159">
        <f>Q159*(1+$AC159/Keys!$C$7^ROUNDUP((R$112-Keys!$C$6)/Keys!$C$8,0))</f>
        <v>1699.1429842478994</v>
      </c>
      <c r="S159">
        <f>R159*(1+$AC159/Keys!$C$7^ROUNDUP((S$112-Keys!$C$6)/Keys!$C$8,0))</f>
        <v>1711.6559779687511</v>
      </c>
      <c r="T159">
        <f>S159*(1+$AC159/Keys!$C$7^ROUNDUP((T$112-Keys!$C$6)/Keys!$C$8,0))</f>
        <v>1724.2611210927487</v>
      </c>
      <c r="U159">
        <f>T159*(1+$AC159/Keys!$C$7^ROUNDUP((U$112-Keys!$C$6)/Keys!$C$8,0))</f>
        <v>1736.9590922354728</v>
      </c>
      <c r="V159">
        <f>U159*(1+$AC159/Keys!$C$7^ROUNDUP((V$112-Keys!$C$6)/Keys!$C$8,0))</f>
        <v>1749.7505750100311</v>
      </c>
      <c r="W159">
        <f>V159*(1+$AC159/Keys!$C$7^ROUNDUP((W$112-Keys!$C$6)/Keys!$C$8,0))</f>
        <v>1762.6362580638609</v>
      </c>
      <c r="X159">
        <f>W159*(1+$AC159/Keys!$C$7^ROUNDUP((X$112-Keys!$C$6)/Keys!$C$8,0))</f>
        <v>1765.8814023268467</v>
      </c>
      <c r="Y159">
        <f>X159*(1+$AC159/Keys!$C$7^ROUNDUP((Y$112-Keys!$C$6)/Keys!$C$8,0))</f>
        <v>1769.1325211414392</v>
      </c>
      <c r="Z159">
        <f>Y159*(1+$AC159/Keys!$C$7^ROUNDUP((Z$112-Keys!$C$6)/Keys!$C$8,0))</f>
        <v>1772.3896255072316</v>
      </c>
      <c r="AA159">
        <f>Z159*(1+$AC159/Keys!$C$7^ROUNDUP((AA$112-Keys!$C$6)/Keys!$C$8,0))</f>
        <v>1775.6527264440681</v>
      </c>
      <c r="AB159">
        <f>AA159*(1+$AC159/Keys!$C$7^ROUNDUP((AB$112-Keys!$C$6)/Keys!$C$8,0))</f>
        <v>1778.9218349920816</v>
      </c>
      <c r="AC159">
        <f>IFERROR((EPRI_PI2026!$J$49/EPRI_PI2026!$F$49)^(1/6)-1,0)</f>
        <v>0.47131501325003256</v>
      </c>
    </row>
    <row r="160" spans="1:29" x14ac:dyDescent="0.45">
      <c r="A160" t="s">
        <v>119</v>
      </c>
      <c r="B160">
        <f>IFERROR(EPRI_PI2026!$F$50,0)</f>
        <v>341</v>
      </c>
      <c r="C160">
        <f t="shared" si="16"/>
        <v>414.25116791638357</v>
      </c>
      <c r="D160">
        <f t="shared" si="16"/>
        <v>503.23762498559478</v>
      </c>
      <c r="E160">
        <f t="shared" si="16"/>
        <v>611.3395128731662</v>
      </c>
      <c r="F160">
        <f t="shared" si="16"/>
        <v>742.6630709710912</v>
      </c>
      <c r="G160">
        <f t="shared" si="16"/>
        <v>902.19661149015417</v>
      </c>
      <c r="H160">
        <f t="shared" si="16"/>
        <v>1096.0000000000005</v>
      </c>
      <c r="I160">
        <f>H160*(1+$AC160/Keys!$C$7^ROUNDUP((I$112-Keys!$C$6)/Keys!$C$8,0))</f>
        <v>1154.8587097040743</v>
      </c>
      <c r="J160">
        <f>I160*(1+$AC160/Keys!$C$7^ROUNDUP((J$112-Keys!$C$6)/Keys!$C$8,0))</f>
        <v>1216.8783206016046</v>
      </c>
      <c r="K160">
        <f>J160*(1+$AC160/Keys!$C$7^ROUNDUP((K$112-Keys!$C$6)/Keys!$C$8,0))</f>
        <v>1282.2285832087857</v>
      </c>
      <c r="L160">
        <f>K160*(1+$AC160/Keys!$C$7^ROUNDUP((L$112-Keys!$C$6)/Keys!$C$8,0))</f>
        <v>1351.0883641881212</v>
      </c>
      <c r="M160">
        <f>L160*(1+$AC160/Keys!$C$7^ROUNDUP((M$112-Keys!$C$6)/Keys!$C$8,0))</f>
        <v>1423.6461359146726</v>
      </c>
      <c r="N160">
        <f>M160*(1+$AC160/Keys!$C$7^ROUNDUP((N$112-Keys!$C$6)/Keys!$C$8,0))</f>
        <v>1442.7597250194008</v>
      </c>
      <c r="O160">
        <f>N160*(1+$AC160/Keys!$C$7^ROUNDUP((O$112-Keys!$C$6)/Keys!$C$8,0))</f>
        <v>1462.1299293596485</v>
      </c>
      <c r="P160">
        <f>O160*(1+$AC160/Keys!$C$7^ROUNDUP((P$112-Keys!$C$6)/Keys!$C$8,0))</f>
        <v>1481.7601942003914</v>
      </c>
      <c r="Q160">
        <f>P160*(1+$AC160/Keys!$C$7^ROUNDUP((Q$112-Keys!$C$6)/Keys!$C$8,0))</f>
        <v>1501.6540110620458</v>
      </c>
      <c r="R160">
        <f>Q160*(1+$AC160/Keys!$C$7^ROUNDUP((R$112-Keys!$C$6)/Keys!$C$8,0))</f>
        <v>1521.8149183414844</v>
      </c>
      <c r="S160">
        <f>R160*(1+$AC160/Keys!$C$7^ROUNDUP((S$112-Keys!$C$6)/Keys!$C$8,0))</f>
        <v>1526.9228142414609</v>
      </c>
      <c r="T160">
        <f>S160*(1+$AC160/Keys!$C$7^ROUNDUP((T$112-Keys!$C$6)/Keys!$C$8,0))</f>
        <v>1532.0478545393603</v>
      </c>
      <c r="U160">
        <f>T160*(1+$AC160/Keys!$C$7^ROUNDUP((U$112-Keys!$C$6)/Keys!$C$8,0))</f>
        <v>1537.1900967794993</v>
      </c>
      <c r="V160">
        <f>U160*(1+$AC160/Keys!$C$7^ROUNDUP((V$112-Keys!$C$6)/Keys!$C$8,0))</f>
        <v>1542.3495986993396</v>
      </c>
      <c r="W160">
        <f>V160*(1+$AC160/Keys!$C$7^ROUNDUP((W$112-Keys!$C$6)/Keys!$C$8,0))</f>
        <v>1547.5264182301355</v>
      </c>
      <c r="X160">
        <f>W160*(1+$AC160/Keys!$C$7^ROUNDUP((X$112-Keys!$C$6)/Keys!$C$8,0))</f>
        <v>1548.8249670469977</v>
      </c>
      <c r="Y160">
        <f>X160*(1+$AC160/Keys!$C$7^ROUNDUP((Y$112-Keys!$C$6)/Keys!$C$8,0))</f>
        <v>1550.1246054924504</v>
      </c>
      <c r="Z160">
        <f>Y160*(1+$AC160/Keys!$C$7^ROUNDUP((Z$112-Keys!$C$6)/Keys!$C$8,0))</f>
        <v>1551.4253344808146</v>
      </c>
      <c r="AA160">
        <f>Z160*(1+$AC160/Keys!$C$7^ROUNDUP((AA$112-Keys!$C$6)/Keys!$C$8,0))</f>
        <v>1552.7271549271786</v>
      </c>
      <c r="AB160">
        <f>AA160*(1+$AC160/Keys!$C$7^ROUNDUP((AB$112-Keys!$C$6)/Keys!$C$8,0))</f>
        <v>1554.0300677473983</v>
      </c>
      <c r="AC160">
        <f>IFERROR((EPRI_PI2026!$J$50/EPRI_PI2026!$F$50)^(1/6)-1,0)</f>
        <v>0.21481280913895473</v>
      </c>
    </row>
    <row r="161" spans="1:29" x14ac:dyDescent="0.45">
      <c r="A161" s="1" t="s">
        <v>254</v>
      </c>
      <c r="B161">
        <f t="shared" ref="B161:AB161" si="17">SUM(B113:B160)</f>
        <v>39766</v>
      </c>
      <c r="C161">
        <f t="shared" si="17"/>
        <v>47463.695938259305</v>
      </c>
      <c r="D161">
        <f t="shared" si="17"/>
        <v>57077.895278811542</v>
      </c>
      <c r="E161">
        <f t="shared" si="17"/>
        <v>69228.006711553855</v>
      </c>
      <c r="F161">
        <f t="shared" si="17"/>
        <v>84812.732959607602</v>
      </c>
      <c r="G161">
        <f t="shared" si="17"/>
        <v>105187.47912981288</v>
      </c>
      <c r="H161">
        <f t="shared" si="17"/>
        <v>132488</v>
      </c>
      <c r="I161">
        <f t="shared" si="17"/>
        <v>141926.88124254229</v>
      </c>
      <c r="J161">
        <f t="shared" si="17"/>
        <v>152402.08221080361</v>
      </c>
      <c r="K161">
        <f t="shared" si="17"/>
        <v>164088.02125058975</v>
      </c>
      <c r="L161">
        <f t="shared" si="17"/>
        <v>177198.67850451908</v>
      </c>
      <c r="M161">
        <f t="shared" si="17"/>
        <v>191998.23336775447</v>
      </c>
      <c r="N161">
        <f t="shared" si="17"/>
        <v>196202.3884851574</v>
      </c>
      <c r="O161">
        <f t="shared" si="17"/>
        <v>200558.24067791435</v>
      </c>
      <c r="P161">
        <f t="shared" si="17"/>
        <v>205073.84293875113</v>
      </c>
      <c r="Q161">
        <f t="shared" si="17"/>
        <v>209757.77905001279</v>
      </c>
      <c r="R161">
        <f t="shared" si="17"/>
        <v>214619.2027285714</v>
      </c>
      <c r="S161">
        <f t="shared" si="17"/>
        <v>215881.37200701347</v>
      </c>
      <c r="T161">
        <f t="shared" si="17"/>
        <v>217155.89609746364</v>
      </c>
      <c r="U161">
        <f t="shared" si="17"/>
        <v>218442.94891204598</v>
      </c>
      <c r="V161">
        <f t="shared" si="17"/>
        <v>219742.70733098668</v>
      </c>
      <c r="W161">
        <f t="shared" si="17"/>
        <v>221055.35125849154</v>
      </c>
      <c r="X161">
        <f t="shared" si="17"/>
        <v>221386.77936380156</v>
      </c>
      <c r="Y161">
        <f t="shared" si="17"/>
        <v>221719.03588273624</v>
      </c>
      <c r="Z161">
        <f t="shared" si="17"/>
        <v>222052.12377346127</v>
      </c>
      <c r="AA161">
        <f t="shared" si="17"/>
        <v>222386.04600687238</v>
      </c>
      <c r="AB161">
        <f t="shared" si="17"/>
        <v>222720.80556665521</v>
      </c>
    </row>
    <row r="163" spans="1:29" x14ac:dyDescent="0.45">
      <c r="A163" s="1" t="s">
        <v>255</v>
      </c>
    </row>
    <row r="164" spans="1:29" x14ac:dyDescent="0.45">
      <c r="A164" s="1" t="s">
        <v>256</v>
      </c>
      <c r="B164" s="1">
        <v>2024</v>
      </c>
      <c r="C164" s="1">
        <v>2025</v>
      </c>
      <c r="D164" s="1">
        <v>2026</v>
      </c>
      <c r="E164" s="1">
        <v>2027</v>
      </c>
      <c r="F164" s="1">
        <v>2028</v>
      </c>
      <c r="G164" s="1">
        <v>2029</v>
      </c>
      <c r="H164" s="1">
        <v>2030</v>
      </c>
      <c r="I164" s="1">
        <v>2031</v>
      </c>
      <c r="J164" s="1">
        <v>2032</v>
      </c>
      <c r="K164" s="1">
        <v>2033</v>
      </c>
      <c r="L164" s="1">
        <v>2034</v>
      </c>
      <c r="M164" s="1">
        <v>2035</v>
      </c>
      <c r="N164" s="1">
        <v>2036</v>
      </c>
      <c r="O164" s="1">
        <v>2037</v>
      </c>
      <c r="P164" s="1">
        <v>2038</v>
      </c>
      <c r="Q164" s="1">
        <v>2039</v>
      </c>
      <c r="R164" s="1">
        <v>2040</v>
      </c>
      <c r="S164" s="1">
        <v>2041</v>
      </c>
      <c r="T164" s="1">
        <v>2042</v>
      </c>
      <c r="U164" s="1">
        <v>2043</v>
      </c>
      <c r="V164" s="1">
        <v>2044</v>
      </c>
      <c r="W164" s="1">
        <v>2045</v>
      </c>
      <c r="X164" s="1">
        <v>2046</v>
      </c>
      <c r="Y164" s="1">
        <v>2047</v>
      </c>
      <c r="Z164" s="1">
        <v>2048</v>
      </c>
      <c r="AA164" s="1">
        <v>2049</v>
      </c>
      <c r="AB164" s="1">
        <v>2050</v>
      </c>
      <c r="AC164" s="1" t="s">
        <v>249</v>
      </c>
    </row>
    <row r="165" spans="1:29" x14ac:dyDescent="0.45">
      <c r="A165" s="1" t="s">
        <v>257</v>
      </c>
      <c r="B165">
        <f>Keys!$C$2</f>
        <v>184000000</v>
      </c>
      <c r="C165">
        <f t="shared" ref="C165:H167" si="18">B165*(1+$AC165)</f>
        <v>207912841.96525458</v>
      </c>
      <c r="D165">
        <f t="shared" si="18"/>
        <v>234933423.1199398</v>
      </c>
      <c r="E165">
        <f t="shared" si="18"/>
        <v>265465628.6602844</v>
      </c>
      <c r="F165">
        <f t="shared" si="18"/>
        <v>299965833.1459384</v>
      </c>
      <c r="G165">
        <f t="shared" si="18"/>
        <v>338949722.07525766</v>
      </c>
      <c r="H165">
        <f t="shared" si="18"/>
        <v>383000000.00000006</v>
      </c>
      <c r="I165">
        <f>H165*(1+$AC165/Keys!$C$7^ROUNDUP((I$164-Keys!$C$6)/Keys!$C$8,0))</f>
        <v>395443775.09876698</v>
      </c>
      <c r="J165">
        <f>I165*(1+$AC165/Keys!$C$7^ROUNDUP((J$164-Keys!$C$6)/Keys!$C$8,0))</f>
        <v>408291851.86518067</v>
      </c>
      <c r="K165">
        <f>J165*(1+$AC165/Keys!$C$7^ROUNDUP((K$164-Keys!$C$6)/Keys!$C$8,0))</f>
        <v>421557366.17136705</v>
      </c>
      <c r="L165">
        <f>K165*(1+$AC165/Keys!$C$7^ROUNDUP((L$164-Keys!$C$6)/Keys!$C$8,0))</f>
        <v>435253880.67754209</v>
      </c>
      <c r="M165">
        <f>L165*(1+$AC165/Keys!$C$7^ROUNDUP((M$164-Keys!$C$6)/Keys!$C$8,0))</f>
        <v>449395398.69847387</v>
      </c>
      <c r="N165">
        <f>M165*(1+$AC165/Keys!$C$7^ROUNDUP((N$164-Keys!$C$6)/Keys!$C$8,0))</f>
        <v>453045643.65397292</v>
      </c>
      <c r="O165">
        <f>N165*(1+$AC165/Keys!$C$7^ROUNDUP((O$164-Keys!$C$6)/Keys!$C$8,0))</f>
        <v>456725537.97453833</v>
      </c>
      <c r="P165">
        <f>O165*(1+$AC165/Keys!$C$7^ROUNDUP((P$164-Keys!$C$6)/Keys!$C$8,0))</f>
        <v>460435322.4891718</v>
      </c>
      <c r="Q165">
        <f>P165*(1+$AC165/Keys!$C$7^ROUNDUP((Q$164-Keys!$C$6)/Keys!$C$8,0))</f>
        <v>464175239.98302525</v>
      </c>
      <c r="R165">
        <f>Q165*(1+$AC165/Keys!$C$7^ROUNDUP((R$164-Keys!$C$6)/Keys!$C$8,0))</f>
        <v>467945535.21328956</v>
      </c>
      <c r="S165">
        <f>R165*(1+$AC165/Keys!$C$7^ROUNDUP((S$164-Keys!$C$6)/Keys!$C$8,0))</f>
        <v>468895765.14127034</v>
      </c>
      <c r="T165">
        <f>S165*(1+$AC165/Keys!$C$7^ROUNDUP((T$164-Keys!$C$6)/Keys!$C$8,0))</f>
        <v>469847924.64619559</v>
      </c>
      <c r="U165">
        <f>T165*(1+$AC165/Keys!$C$7^ROUNDUP((U$164-Keys!$C$6)/Keys!$C$8,0))</f>
        <v>470802017.64634562</v>
      </c>
      <c r="V165">
        <f>U165*(1+$AC165/Keys!$C$7^ROUNDUP((V$164-Keys!$C$6)/Keys!$C$8,0))</f>
        <v>471758048.06795734</v>
      </c>
      <c r="W165">
        <f>V165*(1+$AC165/Keys!$C$7^ROUNDUP((W$164-Keys!$C$6)/Keys!$C$8,0))</f>
        <v>472716019.84524041</v>
      </c>
      <c r="X165">
        <f>W165*(1+$AC165/Keys!$C$7^ROUNDUP((X$164-Keys!$C$6)/Keys!$C$8,0))</f>
        <v>472955999.11402869</v>
      </c>
      <c r="Y165">
        <f>X165*(1+$AC165/Keys!$C$7^ROUNDUP((Y$164-Keys!$C$6)/Keys!$C$8,0))</f>
        <v>473196100.21082157</v>
      </c>
      <c r="Z165">
        <f>Y165*(1+$AC165/Keys!$C$7^ROUNDUP((Z$164-Keys!$C$6)/Keys!$C$8,0))</f>
        <v>473436323.19746637</v>
      </c>
      <c r="AA165">
        <f>Z165*(1+$AC165/Keys!$C$7^ROUNDUP((AA$164-Keys!$C$6)/Keys!$C$8,0))</f>
        <v>473676668.13584173</v>
      </c>
      <c r="AB165">
        <f>AA165*(1+$AC165/Keys!$C$7^ROUNDUP((AB$164-Keys!$C$6)/Keys!$C$8,0))</f>
        <v>473917135.08785772</v>
      </c>
      <c r="AC165">
        <f>(Keys!$C$3/Keys!$C$2)^(1/6)-1</f>
        <v>0.12996109763725316</v>
      </c>
    </row>
    <row r="166" spans="1:29" x14ac:dyDescent="0.45">
      <c r="A166" s="1" t="s">
        <v>258</v>
      </c>
      <c r="B166">
        <f>Keys!$C$2</f>
        <v>184000000</v>
      </c>
      <c r="C166">
        <f t="shared" si="18"/>
        <v>223815020.46218696</v>
      </c>
      <c r="D166">
        <f t="shared" si="18"/>
        <v>272245453.17657161</v>
      </c>
      <c r="E166">
        <f t="shared" si="18"/>
        <v>331155552.5731073</v>
      </c>
      <c r="F166">
        <f t="shared" si="18"/>
        <v>402812971.60498285</v>
      </c>
      <c r="G166">
        <f t="shared" si="18"/>
        <v>489976051.53371507</v>
      </c>
      <c r="H166">
        <f t="shared" si="18"/>
        <v>596000000.00000012</v>
      </c>
      <c r="I166">
        <f>H166*(1+$AC166/Keys!$C$7^ROUNDUP((I$164-Keys!$C$6)/Keys!$C$8,0))</f>
        <v>628241511.13514066</v>
      </c>
      <c r="J166">
        <f>I166*(1+$AC166/Keys!$C$7^ROUNDUP((J$164-Keys!$C$6)/Keys!$C$8,0))</f>
        <v>662227175.02242446</v>
      </c>
      <c r="K166">
        <f>J166*(1+$AC166/Keys!$C$7^ROUNDUP((K$164-Keys!$C$6)/Keys!$C$8,0))</f>
        <v>698051344.21282411</v>
      </c>
      <c r="L166">
        <f>K166*(1+$AC166/Keys!$C$7^ROUNDUP((L$164-Keys!$C$6)/Keys!$C$8,0))</f>
        <v>735813475.3996321</v>
      </c>
      <c r="M166">
        <f>L166*(1+$AC166/Keys!$C$7^ROUNDUP((M$164-Keys!$C$6)/Keys!$C$8,0))</f>
        <v>775618405.5346719</v>
      </c>
      <c r="N166">
        <f>M166*(1+$AC166/Keys!$C$7^ROUNDUP((N$164-Keys!$C$6)/Keys!$C$8,0))</f>
        <v>786107964.87136078</v>
      </c>
      <c r="O166">
        <f>N166*(1+$AC166/Keys!$C$7^ROUNDUP((O$164-Keys!$C$6)/Keys!$C$8,0))</f>
        <v>796739386.30710852</v>
      </c>
      <c r="P166">
        <f>O166*(1+$AC166/Keys!$C$7^ROUNDUP((P$164-Keys!$C$6)/Keys!$C$8,0))</f>
        <v>807514588.40250528</v>
      </c>
      <c r="Q166">
        <f>P166*(1+$AC166/Keys!$C$7^ROUNDUP((Q$164-Keys!$C$6)/Keys!$C$8,0))</f>
        <v>818435515.66499186</v>
      </c>
      <c r="R166">
        <f>Q166*(1+$AC166/Keys!$C$7^ROUNDUP((R$164-Keys!$C$6)/Keys!$C$8,0))</f>
        <v>829504138.89976847</v>
      </c>
      <c r="S166">
        <f>R166*(1+$AC166/Keys!$C$7^ROUNDUP((S$164-Keys!$C$6)/Keys!$C$8,0))</f>
        <v>832308718.06618857</v>
      </c>
      <c r="T166">
        <f>S166*(1+$AC166/Keys!$C$7^ROUNDUP((T$164-Keys!$C$6)/Keys!$C$8,0))</f>
        <v>835122779.60157084</v>
      </c>
      <c r="U166">
        <f>T166*(1+$AC166/Keys!$C$7^ROUNDUP((U$164-Keys!$C$6)/Keys!$C$8,0))</f>
        <v>837946355.56609833</v>
      </c>
      <c r="V166">
        <f>U166*(1+$AC166/Keys!$C$7^ROUNDUP((V$164-Keys!$C$6)/Keys!$C$8,0))</f>
        <v>840779478.12835026</v>
      </c>
      <c r="W166">
        <f>V166*(1+$AC166/Keys!$C$7^ROUNDUP((W$164-Keys!$C$6)/Keys!$C$8,0))</f>
        <v>843622179.56566918</v>
      </c>
      <c r="X166">
        <f>W166*(1+$AC166/Keys!$C$7^ROUNDUP((X$164-Keys!$C$6)/Keys!$C$8,0))</f>
        <v>844335257.74038398</v>
      </c>
      <c r="Y166">
        <f>X166*(1+$AC166/Keys!$C$7^ROUNDUP((Y$164-Keys!$C$6)/Keys!$C$8,0))</f>
        <v>845048938.64994323</v>
      </c>
      <c r="Z166">
        <f>Y166*(1+$AC166/Keys!$C$7^ROUNDUP((Z$164-Keys!$C$6)/Keys!$C$8,0))</f>
        <v>845763222.80381334</v>
      </c>
      <c r="AA166">
        <f>Z166*(1+$AC166/Keys!$C$7^ROUNDUP((AA$164-Keys!$C$6)/Keys!$C$8,0))</f>
        <v>846478110.71189129</v>
      </c>
      <c r="AB166">
        <f>AA166*(1+$AC166/Keys!$C$7^ROUNDUP((AB$164-Keys!$C$6)/Keys!$C$8,0))</f>
        <v>847193602.88450491</v>
      </c>
      <c r="AC166">
        <f>(Keys!$C$4/Keys!$C$2)^(1/6)-1</f>
        <v>0.21638598077275528</v>
      </c>
    </row>
    <row r="167" spans="1:29" x14ac:dyDescent="0.45">
      <c r="A167" s="1" t="s">
        <v>259</v>
      </c>
      <c r="B167">
        <f>Keys!$C$2</f>
        <v>184000000</v>
      </c>
      <c r="C167">
        <f t="shared" si="18"/>
        <v>234725559.92980489</v>
      </c>
      <c r="D167">
        <f t="shared" si="18"/>
        <v>299435263.50195885</v>
      </c>
      <c r="E167">
        <f t="shared" si="18"/>
        <v>381984292.87079328</v>
      </c>
      <c r="F167">
        <f t="shared" si="18"/>
        <v>487290636.02438879</v>
      </c>
      <c r="G167">
        <f t="shared" si="18"/>
        <v>621628083.63790989</v>
      </c>
      <c r="H167">
        <f t="shared" si="18"/>
        <v>793000000</v>
      </c>
      <c r="I167">
        <f>H167*(1+$AC167/Keys!$C$7^ROUNDUP((I$164-Keys!$C$6)/Keys!$C$8,0))</f>
        <v>847654034.00045562</v>
      </c>
      <c r="J167">
        <f>I167*(1+$AC167/Keys!$C$7^ROUNDUP((J$164-Keys!$C$6)/Keys!$C$8,0))</f>
        <v>906074856.6926173</v>
      </c>
      <c r="K167">
        <f>J167*(1+$AC167/Keys!$C$7^ROUNDUP((K$164-Keys!$C$6)/Keys!$C$8,0))</f>
        <v>968522077.40464282</v>
      </c>
      <c r="L167">
        <f>K167*(1+$AC167/Keys!$C$7^ROUNDUP((L$164-Keys!$C$6)/Keys!$C$8,0))</f>
        <v>1035273197.8947629</v>
      </c>
      <c r="M167">
        <f>L167*(1+$AC167/Keys!$C$7^ROUNDUP((M$164-Keys!$C$6)/Keys!$C$8,0))</f>
        <v>1106624845.5082569</v>
      </c>
      <c r="N167">
        <f>M167*(1+$AC167/Keys!$C$7^ROUNDUP((N$164-Keys!$C$6)/Keys!$C$8,0))</f>
        <v>1125692156.9622788</v>
      </c>
      <c r="O167">
        <f>N167*(1+$AC167/Keys!$C$7^ROUNDUP((O$164-Keys!$C$6)/Keys!$C$8,0))</f>
        <v>1145088001.0419328</v>
      </c>
      <c r="P167">
        <f>O167*(1+$AC167/Keys!$C$7^ROUNDUP((P$164-Keys!$C$6)/Keys!$C$8,0))</f>
        <v>1164818038.4134521</v>
      </c>
      <c r="Q167">
        <f>P167*(1+$AC167/Keys!$C$7^ROUNDUP((Q$164-Keys!$C$6)/Keys!$C$8,0))</f>
        <v>1184888027.2771952</v>
      </c>
      <c r="R167">
        <f>Q167*(1+$AC167/Keys!$C$7^ROUNDUP((R$164-Keys!$C$6)/Keys!$C$8,0))</f>
        <v>1205303825.0481727</v>
      </c>
      <c r="S167">
        <f>R167*(1+$AC167/Keys!$C$7^ROUNDUP((S$164-Keys!$C$6)/Keys!$C$8,0))</f>
        <v>1210495716.3025124</v>
      </c>
      <c r="T167">
        <f>S167*(1+$AC167/Keys!$C$7^ROUNDUP((T$164-Keys!$C$6)/Keys!$C$8,0))</f>
        <v>1215709971.8223898</v>
      </c>
      <c r="U167">
        <f>T167*(1+$AC167/Keys!$C$7^ROUNDUP((U$164-Keys!$C$6)/Keys!$C$8,0))</f>
        <v>1220946687.942714</v>
      </c>
      <c r="V167">
        <f>U167*(1+$AC167/Keys!$C$7^ROUNDUP((V$164-Keys!$C$6)/Keys!$C$8,0))</f>
        <v>1226205961.4133606</v>
      </c>
      <c r="W167">
        <f>V167*(1+$AC167/Keys!$C$7^ROUNDUP((W$164-Keys!$C$6)/Keys!$C$8,0))</f>
        <v>1231487889.4009588</v>
      </c>
      <c r="X167">
        <f>W167*(1+$AC167/Keys!$C$7^ROUNDUP((X$164-Keys!$C$6)/Keys!$C$8,0))</f>
        <v>1232814059.4233906</v>
      </c>
      <c r="Y167">
        <f>X167*(1+$AC167/Keys!$C$7^ROUNDUP((Y$164-Keys!$C$6)/Keys!$C$8,0))</f>
        <v>1234141657.5775514</v>
      </c>
      <c r="Z167">
        <f>Y167*(1+$AC167/Keys!$C$7^ROUNDUP((Z$164-Keys!$C$6)/Keys!$C$8,0))</f>
        <v>1235470685.4013734</v>
      </c>
      <c r="AA167">
        <f>Z167*(1+$AC167/Keys!$C$7^ROUNDUP((AA$164-Keys!$C$6)/Keys!$C$8,0))</f>
        <v>1236801144.4344459</v>
      </c>
      <c r="AB167">
        <f>AA167*(1+$AC167/Keys!$C$7^ROUNDUP((AB$164-Keys!$C$6)/Keys!$C$8,0))</f>
        <v>1238133036.2180154</v>
      </c>
      <c r="AC167">
        <f>(Keys!$C$5/Keys!$C$2)^(1/6)-1</f>
        <v>0.27568239092285274</v>
      </c>
    </row>
    <row r="169" spans="1:29" x14ac:dyDescent="0.45">
      <c r="A169" s="1" t="s">
        <v>260</v>
      </c>
    </row>
    <row r="170" spans="1:29" x14ac:dyDescent="0.45">
      <c r="A170" s="1" t="s">
        <v>256</v>
      </c>
      <c r="B170" s="1">
        <v>2024</v>
      </c>
      <c r="C170" s="1">
        <v>2025</v>
      </c>
      <c r="D170" s="1">
        <v>2026</v>
      </c>
      <c r="E170" s="1">
        <v>2027</v>
      </c>
      <c r="F170" s="1">
        <v>2028</v>
      </c>
      <c r="G170" s="1">
        <v>2029</v>
      </c>
      <c r="H170" s="1">
        <v>2030</v>
      </c>
      <c r="I170" s="1">
        <v>2031</v>
      </c>
      <c r="J170" s="1">
        <v>2032</v>
      </c>
      <c r="K170" s="1">
        <v>2033</v>
      </c>
      <c r="L170" s="1">
        <v>2034</v>
      </c>
      <c r="M170" s="1">
        <v>2035</v>
      </c>
      <c r="N170" s="1">
        <v>2036</v>
      </c>
      <c r="O170" s="1">
        <v>2037</v>
      </c>
      <c r="P170" s="1">
        <v>2038</v>
      </c>
      <c r="Q170" s="1">
        <v>2039</v>
      </c>
      <c r="R170" s="1">
        <v>2040</v>
      </c>
      <c r="S170" s="1">
        <v>2041</v>
      </c>
      <c r="T170" s="1">
        <v>2042</v>
      </c>
      <c r="U170" s="1">
        <v>2043</v>
      </c>
      <c r="V170" s="1">
        <v>2044</v>
      </c>
      <c r="W170" s="1">
        <v>2045</v>
      </c>
      <c r="X170" s="1">
        <v>2046</v>
      </c>
      <c r="Y170" s="1">
        <v>2047</v>
      </c>
      <c r="Z170" s="1">
        <v>2048</v>
      </c>
      <c r="AA170" s="1">
        <v>2049</v>
      </c>
      <c r="AB170" s="1">
        <v>2050</v>
      </c>
    </row>
    <row r="171" spans="1:29" x14ac:dyDescent="0.45">
      <c r="A171" s="1" t="s">
        <v>261</v>
      </c>
      <c r="B171">
        <f>IF('State Calculations'!B$5&lt;&gt;"",A171*(1+'State Calculations'!B$5),IFERROR(INDEX(B9:B56,MATCH($B$5,$A9:$A56,0))/B57*B165,0))</f>
        <v>869888.84977116133</v>
      </c>
      <c r="C171">
        <f>IF('State Calculations'!C$5&lt;&gt;"",B171*(1+'State Calculations'!C$5),IFERROR(INDEX(C9:C56,MATCH($B$5,$A9:$A56,0))/C57*C165,0))</f>
        <v>1038045.9109048626</v>
      </c>
      <c r="D171">
        <f>IF('State Calculations'!D$5&lt;&gt;"",C171*(1+'State Calculations'!D$5),IFERROR(INDEX(D9:D56,MATCH($B$5,$A9:$A56,0))/D57*D165,0))</f>
        <v>1234455.4184623009</v>
      </c>
      <c r="E171">
        <f>IF('State Calculations'!E$5&lt;&gt;"",D171*(1+'State Calculations'!E$5),IFERROR(INDEX(E9:E56,MATCH($B$5,$A9:$A56,0))/E57*E165,0))</f>
        <v>1461986.6300071727</v>
      </c>
      <c r="F171">
        <f>IF('State Calculations'!F$5&lt;&gt;"",E171*(1+'State Calculations'!F$5),IFERROR(INDEX(F9:F56,MATCH($B$5,$A9:$A56,0))/F57*F165,0))</f>
        <v>1722547.1789645334</v>
      </c>
      <c r="G171">
        <f>IF('State Calculations'!G$5&lt;&gt;"",F171*(1+'State Calculations'!G$5),IFERROR(INDEX(G9:G56,MATCH($B$5,$A9:$A56,0))/G57*G165,0))</f>
        <v>2015821.8422070111</v>
      </c>
      <c r="H171">
        <f>IF('State Calculations'!H$5&lt;&gt;"",G171*(1+'State Calculations'!H$5),IFERROR(INDEX(H9:H56,MATCH($B$5,$A9:$A56,0))/H57*H165,0))</f>
        <v>2336907.4592781584</v>
      </c>
      <c r="I171">
        <f>IF('State Calculations'!I$5&lt;&gt;"",H171*(1+'State Calculations'!I$5),IFERROR(INDEX(I9:I56,MATCH($B$5,$A9:$A56,0))/I57*I165,0))</f>
        <v>2420508.3699522489</v>
      </c>
      <c r="J171">
        <f>IF('State Calculations'!J$5&lt;&gt;"",I171*(1+'State Calculations'!J$5),IFERROR(INDEX(J9:J56,MATCH($B$5,$A9:$A56,0))/J57*J165,0))</f>
        <v>2503332.5024863291</v>
      </c>
      <c r="K171">
        <f>IF('State Calculations'!K$5&lt;&gt;"",J171*(1+'State Calculations'!K$5),IFERROR(INDEX(K9:K56,MATCH($B$5,$A9:$A56,0))/K57*K165,0))</f>
        <v>2584457.2721278132</v>
      </c>
      <c r="L171">
        <f>IF('State Calculations'!L$5&lt;&gt;"",K171*(1+'State Calculations'!L$5),IFERROR(INDEX(L9:L56,MATCH($B$5,$A9:$A56,0))/L57*L165,0))</f>
        <v>2662749.7868781001</v>
      </c>
      <c r="M171">
        <f>IF('State Calculations'!M$5&lt;&gt;"",L171*(1+'State Calculations'!M$5),IFERROR(INDEX(M9:M56,MATCH($B$5,$A9:$A56,0))/M57*M165,0))</f>
        <v>2736836.6433537086</v>
      </c>
      <c r="N171">
        <f>IF('State Calculations'!N$5&lt;&gt;"",M171*(1+'State Calculations'!N$5),IFERROR(INDEX(N9:N56,MATCH($B$5,$A9:$A56,0))/N57*N165,0))</f>
        <v>2753892.0271042665</v>
      </c>
      <c r="O171">
        <f>IF('State Calculations'!O$5&lt;&gt;"",N171*(1+'State Calculations'!O$5),IFERROR(INDEX(O9:O56,MATCH($B$5,$A9:$A56,0))/O57*O165,0))</f>
        <v>2770452.1976912906</v>
      </c>
      <c r="P171">
        <f>IF('State Calculations'!P$5&lt;&gt;"",O171*(1+'State Calculations'!P$5),IFERROR(INDEX(P9:P56,MATCH($B$5,$A9:$A56,0))/P57*P165,0))</f>
        <v>2786479.2080866126</v>
      </c>
      <c r="Q171">
        <f>IF('State Calculations'!Q$5&lt;&gt;"",P171*(1+'State Calculations'!Q$5),IFERROR(INDEX(Q9:Q56,MATCH($B$5,$A9:$A56,0))/Q57*Q165,0))</f>
        <v>2801933.5378411692</v>
      </c>
      <c r="R171">
        <f>IF('State Calculations'!R$5&lt;&gt;"",Q171*(1+'State Calculations'!R$5),IFERROR(INDEX(R9:R56,MATCH($B$5,$A9:$A56,0))/R57*R165,0))</f>
        <v>2816774.097121865</v>
      </c>
      <c r="S171">
        <f>IF('State Calculations'!S$5&lt;&gt;"",R171*(1+'State Calculations'!S$5),IFERROR(INDEX(S9:S56,MATCH($B$5,$A9:$A56,0))/S57*S165,0))</f>
        <v>2820317.6752322349</v>
      </c>
      <c r="T171">
        <f>IF('State Calculations'!T$5&lt;&gt;"",S171*(1+'State Calculations'!T$5),IFERROR(INDEX(T9:T56,MATCH($B$5,$A9:$A56,0))/T57*T165,0))</f>
        <v>2823817.1162849599</v>
      </c>
      <c r="U171">
        <f>IF('State Calculations'!U$5&lt;&gt;"",T171*(1+'State Calculations'!U$5),IFERROR(INDEX(U9:U56,MATCH($B$5,$A9:$A56,0))/U57*U165,0))</f>
        <v>2827271.6842822493</v>
      </c>
      <c r="V171">
        <f>IF('State Calculations'!V$5&lt;&gt;"",U171*(1+'State Calculations'!V$5),IFERROR(INDEX(V9:V56,MATCH($B$5,$A9:$A56,0))/V57*V165,0))</f>
        <v>2830680.6367621901</v>
      </c>
      <c r="W171">
        <f>IF('State Calculations'!W$5&lt;&gt;"",V171*(1+'State Calculations'!W$5),IFERROR(INDEX(W9:W56,MATCH($B$5,$A9:$A56,0))/W57*W165,0))</f>
        <v>2834043.2248442862</v>
      </c>
      <c r="X171">
        <f>IF('State Calculations'!X$5&lt;&gt;"",W171*(1+'State Calculations'!X$5),IFERROR(INDEX(X9:X56,MATCH($B$5,$A9:$A56,0))/X57*X165,0))</f>
        <v>2834871.8779411204</v>
      </c>
      <c r="Y171">
        <f>IF('State Calculations'!Y$5&lt;&gt;"",X171*(1+'State Calculations'!Y$5),IFERROR(INDEX(Y9:Y56,MATCH($B$5,$A9:$A56,0))/Y57*Y165,0))</f>
        <v>2835697.5318371751</v>
      </c>
      <c r="Z171">
        <f>IF('State Calculations'!Z$5&lt;&gt;"",Y171*(1+'State Calculations'!Z$5),IFERROR(INDEX(Z9:Z56,MATCH($B$5,$A9:$A56,0))/Z57*Z165,0))</f>
        <v>2836520.1744351033</v>
      </c>
      <c r="AA171">
        <f>IF('State Calculations'!AA$5&lt;&gt;"",Z171*(1+'State Calculations'!AA$5),IFERROR(INDEX(AA9:AA56,MATCH($B$5,$A9:$A56,0))/AA57*AA165,0))</f>
        <v>2837339.7936124257</v>
      </c>
      <c r="AB171">
        <f>IF('State Calculations'!AB$5&lt;&gt;"",AA171*(1+'State Calculations'!AB$5),IFERROR(INDEX(AB9:AB56,MATCH($B$5,$A9:$A56,0))/AB57*AB165,0))</f>
        <v>2838156.3772215992</v>
      </c>
    </row>
    <row r="172" spans="1:29" x14ac:dyDescent="0.45">
      <c r="A172" s="1" t="s">
        <v>262</v>
      </c>
      <c r="B172">
        <f>IF('State Calculations'!B$5&lt;&gt;"",A172*(1+'State Calculations'!B$5),IFERROR(INDEX(B61:B108,MATCH($B$5,$A61:$A108,0))/B109*B166,0))</f>
        <v>869888.84977116133</v>
      </c>
      <c r="C172">
        <f>IF('State Calculations'!C$5&lt;&gt;"",B172*(1+'State Calculations'!C$5),IFERROR(INDEX(C61:C108,MATCH($B$5,$A61:$A108,0))/C109*C166,0))</f>
        <v>1106960.223947824</v>
      </c>
      <c r="D172">
        <f>IF('State Calculations'!D$5&lt;&gt;"",C172*(1+'State Calculations'!D$5),IFERROR(INDEX(D61:D108,MATCH($B$5,$A61:$A108,0))/D109*D166,0))</f>
        <v>1399644.3357113753</v>
      </c>
      <c r="E172">
        <f>IF('State Calculations'!E$5&lt;&gt;"",D172*(1+'State Calculations'!E$5),IFERROR(INDEX(E61:E108,MATCH($B$5,$A61:$A108,0))/E109*E166,0))</f>
        <v>1756539.5830655363</v>
      </c>
      <c r="F172">
        <f>IF('State Calculations'!F$5&lt;&gt;"",E172*(1+'State Calculations'!F$5),IFERROR(INDEX(F61:F108,MATCH($B$5,$A61:$A108,0))/F109*F166,0))</f>
        <v>2184708.7225649245</v>
      </c>
      <c r="G172">
        <f>IF('State Calculations'!G$5&lt;&gt;"",F172*(1+'State Calculations'!G$5),IFERROR(INDEX(G61:G108,MATCH($B$5,$A61:$A108,0))/G109*G166,0))</f>
        <v>2687057.8032355001</v>
      </c>
      <c r="H172">
        <f>IF('State Calculations'!H$5&lt;&gt;"",G172*(1+'State Calculations'!H$5),IFERROR(INDEX(H61:H108,MATCH($B$5,$A61:$A108,0))/H109*H166,0))</f>
        <v>3257951.7833484598</v>
      </c>
      <c r="I172">
        <f>IF('State Calculations'!I$5&lt;&gt;"",H172*(1+'State Calculations'!I$5),IFERROR(INDEX(I61:I108,MATCH($B$5,$A61:$A108,0))/I109*I166,0))</f>
        <v>3412660.2355623748</v>
      </c>
      <c r="J172">
        <f>IF('State Calculations'!J$5&lt;&gt;"",I172*(1+'State Calculations'!J$5),IFERROR(INDEX(J61:J108,MATCH($B$5,$A61:$A108,0))/J109*J166,0))</f>
        <v>3567221.7856480908</v>
      </c>
      <c r="K172">
        <f>IF('State Calculations'!K$5&lt;&gt;"",J172*(1+'State Calculations'!K$5),IFERROR(INDEX(K61:K108,MATCH($B$5,$A61:$A108,0))/K109*K166,0))</f>
        <v>3720052.0721595753</v>
      </c>
      <c r="L172">
        <f>IF('State Calculations'!L$5&lt;&gt;"",K172*(1+'State Calculations'!L$5),IFERROR(INDEX(L61:L108,MATCH($B$5,$A61:$A108,0))/L109*L166,0))</f>
        <v>3869266.9341771579</v>
      </c>
      <c r="M172">
        <f>IF('State Calculations'!M$5&lt;&gt;"",L172*(1+'State Calculations'!M$5),IFERROR(INDEX(M61:M108,MATCH($B$5,$A61:$A108,0))/M109*M166,0))</f>
        <v>4012661.0606984878</v>
      </c>
      <c r="N172">
        <f>IF('State Calculations'!N$5&lt;&gt;"",M172*(1+'State Calculations'!N$5),IFERROR(INDEX(N61:N108,MATCH($B$5,$A61:$A108,0))/N109*N166,0))</f>
        <v>4046230.952332099</v>
      </c>
      <c r="O172">
        <f>IF('State Calculations'!O$5&lt;&gt;"",N172*(1+'State Calculations'!O$5),IFERROR(INDEX(O61:O108,MATCH($B$5,$A61:$A108,0))/O109*O166,0))</f>
        <v>4079044.9999801191</v>
      </c>
      <c r="P172">
        <f>IF('State Calculations'!P$5&lt;&gt;"",O172*(1+'State Calculations'!P$5),IFERROR(INDEX(P61:P108,MATCH($B$5,$A61:$A108,0))/P109*P166,0))</f>
        <v>4111045.5057578795</v>
      </c>
      <c r="Q172">
        <f>IF('State Calculations'!Q$5&lt;&gt;"",P172*(1+'State Calculations'!Q$5),IFERROR(INDEX(Q61:Q108,MATCH($B$5,$A61:$A108,0))/Q109*Q166,0))</f>
        <v>4142173.0216168561</v>
      </c>
      <c r="R172">
        <f>IF('State Calculations'!R$5&lt;&gt;"",Q172*(1+'State Calculations'!R$5),IFERROR(INDEX(R61:R108,MATCH($B$5,$A61:$A108,0))/R109*R166,0))</f>
        <v>4172366.4002593989</v>
      </c>
      <c r="S172">
        <f>IF('State Calculations'!S$5&lt;&gt;"",R172*(1+'State Calculations'!S$5),IFERROR(INDEX(S61:S108,MATCH($B$5,$A61:$A108,0))/S109*S166,0))</f>
        <v>4179642.0630475455</v>
      </c>
      <c r="T172">
        <f>IF('State Calculations'!T$5&lt;&gt;"",S172*(1+'State Calculations'!T$5),IFERROR(INDEX(T61:T108,MATCH($B$5,$A61:$A108,0))/T109*T166,0))</f>
        <v>4186849.9741714559</v>
      </c>
      <c r="U172">
        <f>IF('State Calculations'!U$5&lt;&gt;"",T172*(1+'State Calculations'!U$5),IFERROR(INDEX(U61:U108,MATCH($B$5,$A61:$A108,0))/U109*U166,0))</f>
        <v>4193989.0551270428</v>
      </c>
      <c r="V172">
        <f>IF('State Calculations'!V$5&lt;&gt;"",U172*(1+'State Calculations'!V$5),IFERROR(INDEX(V61:V108,MATCH($B$5,$A61:$A108,0))/V109*V166,0))</f>
        <v>4201058.2208939847</v>
      </c>
      <c r="W172">
        <f>IF('State Calculations'!W$5&lt;&gt;"",V172*(1+'State Calculations'!W$5),IFERROR(INDEX(W61:W108,MATCH($B$5,$A61:$A108,0))/W109*W166,0))</f>
        <v>4208056.3800420566</v>
      </c>
      <c r="X172">
        <f>IF('State Calculations'!X$5&lt;&gt;"",W172*(1+'State Calculations'!X$5),IFERROR(INDEX(X61:X108,MATCH($B$5,$A61:$A108,0))/X109*X166,0))</f>
        <v>4209786.1666596793</v>
      </c>
      <c r="Y172">
        <f>IF('State Calculations'!Y$5&lt;&gt;"",X172*(1+'State Calculations'!Y$5),IFERROR(INDEX(Y61:Y108,MATCH($B$5,$A61:$A108,0))/Y109*Y166,0))</f>
        <v>4211511.3524701232</v>
      </c>
      <c r="Z172">
        <f>IF('State Calculations'!Z$5&lt;&gt;"",Y172*(1+'State Calculations'!Z$5),IFERROR(INDEX(Z61:Z108,MATCH($B$5,$A61:$A108,0))/Z109*Z166,0))</f>
        <v>4213231.9199098805</v>
      </c>
      <c r="AA172">
        <f>IF('State Calculations'!AA$5&lt;&gt;"",Z172*(1+'State Calculations'!AA$5),IFERROR(INDEX(AA61:AA108,MATCH($B$5,$A61:$A108,0))/AA109*AA166,0))</f>
        <v>4214947.8513909131</v>
      </c>
      <c r="AB172">
        <f>IF('State Calculations'!AB$5&lt;&gt;"",AA172*(1+'State Calculations'!AB$5),IFERROR(INDEX(AB61:AB108,MATCH($B$5,$A61:$A108,0))/AB109*AB166,0))</f>
        <v>4216659.1293007713</v>
      </c>
    </row>
    <row r="173" spans="1:29" x14ac:dyDescent="0.45">
      <c r="A173" s="1" t="s">
        <v>263</v>
      </c>
      <c r="B173">
        <f>IF('State Calculations'!B$5&lt;&gt;"",A173*(1+'State Calculations'!B$5),IFERROR(INDEX(B113:B160,MATCH($B$5,$A113:$A160,0))/B161*B167,0))</f>
        <v>869888.84977116133</v>
      </c>
      <c r="C173">
        <f>IF('State Calculations'!C$5&lt;&gt;"",B173*(1+'State Calculations'!C$5),IFERROR(INDEX(C113:C160,MATCH($B$5,$A113:$A160,0))/C161*C167,0))</f>
        <v>1141209.9085778454</v>
      </c>
      <c r="D173">
        <f>IF('State Calculations'!D$5&lt;&gt;"",C173*(1+'State Calculations'!D$5),IFERROR(INDEX(D113:D160,MATCH($B$5,$A113:$A160,0))/D161*D167,0))</f>
        <v>1485971.7438175194</v>
      </c>
      <c r="E173">
        <f>IF('State Calculations'!E$5&lt;&gt;"",D173*(1+'State Calculations'!E$5),IFERROR(INDEX(E113:E160,MATCH($B$5,$A113:$A160,0))/E161*E167,0))</f>
        <v>1918439.4175225827</v>
      </c>
      <c r="F173">
        <f>IF('State Calculations'!F$5&lt;&gt;"",E173*(1+'State Calculations'!F$5),IFERROR(INDEX(F113:F160,MATCH($B$5,$A113:$A160,0))/F161*F167,0))</f>
        <v>2451998.911280144</v>
      </c>
      <c r="G173">
        <f>IF('State Calculations'!G$5&lt;&gt;"",F173*(1+'State Calculations'!G$5),IFERROR(INDEX(G113:G160,MATCH($B$5,$A113:$A160,0))/G161*G167,0))</f>
        <v>3095770.079089452</v>
      </c>
      <c r="H173">
        <f>IF('State Calculations'!H$5&lt;&gt;"",G173*(1+'State Calculations'!H$5),IFERROR(INDEX(H113:H160,MATCH($B$5,$A113:$A160,0))/H161*H167,0))</f>
        <v>3848642.8959603892</v>
      </c>
      <c r="I173">
        <f>IF('State Calculations'!I$5&lt;&gt;"",H173*(1+'State Calculations'!I$5),IFERROR(INDEX(I113:I160,MATCH($B$5,$A113:$A160,0))/I161*I167,0))</f>
        <v>4058680.8222759673</v>
      </c>
      <c r="J173">
        <f>IF('State Calculations'!J$5&lt;&gt;"",I173*(1+'State Calculations'!J$5),IFERROR(INDEX(J113:J160,MATCH($B$5,$A113:$A160,0))/J161*J167,0))</f>
        <v>4269962.4609326329</v>
      </c>
      <c r="K173">
        <f>IF('State Calculations'!K$5&lt;&gt;"",J173*(1+'State Calculations'!K$5),IFERROR(INDEX(K113:K160,MATCH($B$5,$A113:$A160,0))/K161*K167,0))</f>
        <v>4480262.6882789321</v>
      </c>
      <c r="L173">
        <f>IF('State Calculations'!L$5&lt;&gt;"",K173*(1+'State Calculations'!L$5),IFERROR(INDEX(L113:L160,MATCH($B$5,$A113:$A160,0))/L161*L167,0))</f>
        <v>4686895.5621361369</v>
      </c>
      <c r="M173">
        <f>IF('State Calculations'!M$5&lt;&gt;"",L173*(1+'State Calculations'!M$5),IFERROR(INDEX(M113:M160,MATCH($B$5,$A113:$A160,0))/M161*M167,0))</f>
        <v>4886680.2302431418</v>
      </c>
      <c r="N173">
        <f>IF('State Calculations'!N$5&lt;&gt;"",M173*(1+'State Calculations'!N$5),IFERROR(INDEX(N113:N160,MATCH($B$5,$A113:$A160,0))/N161*N167,0))</f>
        <v>4933518.5539512923</v>
      </c>
      <c r="O173">
        <f>IF('State Calculations'!O$5&lt;&gt;"",N173*(1+'State Calculations'!O$5),IFERROR(INDEX(O113:O160,MATCH($B$5,$A113:$A160,0))/O161*O167,0))</f>
        <v>4979324.6921061259</v>
      </c>
      <c r="P173">
        <f>IF('State Calculations'!P$5&lt;&gt;"",O173*(1+'State Calculations'!P$5),IFERROR(INDEX(P113:P160,MATCH($B$5,$A113:$A160,0))/P161*P167,0))</f>
        <v>5024011.1001217086</v>
      </c>
      <c r="Q173">
        <f>IF('State Calculations'!Q$5&lt;&gt;"",P173*(1+'State Calculations'!Q$5),IFERROR(INDEX(Q113:Q160,MATCH($B$5,$A113:$A160,0))/Q161*Q167,0))</f>
        <v>5067487.5024298709</v>
      </c>
      <c r="R173">
        <f>IF('State Calculations'!R$5&lt;&gt;"",Q173*(1+'State Calculations'!R$5),IFERROR(INDEX(R113:R160,MATCH($B$5,$A113:$A160,0))/R161*R167,0))</f>
        <v>5109660.9925541533</v>
      </c>
      <c r="S173">
        <f>IF('State Calculations'!S$5&lt;&gt;"",R173*(1+'State Calculations'!S$5),IFERROR(INDEX(S113:S160,MATCH($B$5,$A113:$A160,0))/S161*S167,0))</f>
        <v>5119800.2727493597</v>
      </c>
      <c r="T173">
        <f>IF('State Calculations'!T$5&lt;&gt;"",S173*(1+'State Calculations'!T$5),IFERROR(INDEX(T113:T160,MATCH($B$5,$A113:$A160,0))/T161*T167,0))</f>
        <v>5129843.1613490535</v>
      </c>
      <c r="U173">
        <f>IF('State Calculations'!U$5&lt;&gt;"",T173*(1+'State Calculations'!U$5),IFERROR(INDEX(U113:U160,MATCH($B$5,$A113:$A160,0))/U161*U167,0))</f>
        <v>5139788.0031060642</v>
      </c>
      <c r="V173">
        <f>IF('State Calculations'!V$5&lt;&gt;"",U173*(1+'State Calculations'!V$5),IFERROR(INDEX(V113:V160,MATCH($B$5,$A113:$A160,0))/V161*V167,0))</f>
        <v>5149633.1329254741</v>
      </c>
      <c r="W173">
        <f>IF('State Calculations'!W$5&lt;&gt;"",V173*(1+'State Calculations'!W$5),IFERROR(INDEX(W113:W160,MATCH($B$5,$A113:$A160,0))/W161*W167,0))</f>
        <v>5159376.8760716561</v>
      </c>
      <c r="X173">
        <f>IF('State Calculations'!X$5&lt;&gt;"",W173*(1+'State Calculations'!X$5),IFERROR(INDEX(X113:X160,MATCH($B$5,$A113:$A160,0))/X161*X167,0))</f>
        <v>5161783.0805867985</v>
      </c>
      <c r="Y173">
        <f>IF('State Calculations'!Y$5&lt;&gt;"",X173*(1+'State Calculations'!Y$5),IFERROR(INDEX(Y113:Y160,MATCH($B$5,$A113:$A160,0))/Y161*Y167,0))</f>
        <v>5164182.6860441389</v>
      </c>
      <c r="Z173">
        <f>IF('State Calculations'!Z$5&lt;&gt;"",Y173*(1+'State Calculations'!Z$5),IFERROR(INDEX(Z113:Z160,MATCH($B$5,$A113:$A160,0))/Z161*Z167,0))</f>
        <v>5166575.6654324327</v>
      </c>
      <c r="AA173">
        <f>IF('State Calculations'!AA$5&lt;&gt;"",Z173*(1+'State Calculations'!AA$5),IFERROR(INDEX(AA113:AA160,MATCH($B$5,$A113:$A160,0))/AA161*AA167,0))</f>
        <v>5168961.9917039815</v>
      </c>
      <c r="AB173">
        <f>IF('State Calculations'!AB$5&lt;&gt;"",AA173*(1+'State Calculations'!AB$5),IFERROR(INDEX(AB113:AB160,MATCH($B$5,$A113:$A160,0))/AB161*AB167,0))</f>
        <v>5171341.6377748698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Calcs!B171</f>
        <v>869888.84977116133</v>
      </c>
      <c r="C2">
        <f>Calcs!C171</f>
        <v>1038045.9109048626</v>
      </c>
      <c r="D2">
        <f>Calcs!D171</f>
        <v>1234455.4184623009</v>
      </c>
      <c r="E2">
        <f>Calcs!E171</f>
        <v>1461986.6300071727</v>
      </c>
      <c r="F2">
        <f>Calcs!F171</f>
        <v>1722547.1789645334</v>
      </c>
      <c r="G2">
        <f>Calcs!G171</f>
        <v>2015821.8422070111</v>
      </c>
      <c r="H2">
        <f>Calcs!H171</f>
        <v>2336907.4592781584</v>
      </c>
      <c r="I2">
        <f>Calcs!I171</f>
        <v>2420508.3699522489</v>
      </c>
      <c r="J2">
        <f>Calcs!J171</f>
        <v>2503332.5024863291</v>
      </c>
      <c r="K2">
        <f>Calcs!K171</f>
        <v>2584457.2721278132</v>
      </c>
      <c r="L2">
        <f>Calcs!L171</f>
        <v>2662749.7868781001</v>
      </c>
      <c r="M2">
        <f>Calcs!M171</f>
        <v>2736836.6433537086</v>
      </c>
      <c r="N2">
        <f>Calcs!N171</f>
        <v>2753892.0271042665</v>
      </c>
      <c r="O2">
        <f>Calcs!O171</f>
        <v>2770452.1976912906</v>
      </c>
      <c r="P2">
        <f>Calcs!P171</f>
        <v>2786479.2080866126</v>
      </c>
      <c r="Q2">
        <f>Calcs!Q171</f>
        <v>2801933.5378411692</v>
      </c>
      <c r="R2">
        <f>Calcs!R171</f>
        <v>2816774.097121865</v>
      </c>
      <c r="S2">
        <f>Calcs!S171</f>
        <v>2820317.6752322349</v>
      </c>
      <c r="T2">
        <f>Calcs!T171</f>
        <v>2823817.1162849599</v>
      </c>
      <c r="U2">
        <f>Calcs!U171</f>
        <v>2827271.6842822493</v>
      </c>
      <c r="V2">
        <f>Calcs!V171</f>
        <v>2830680.6367621901</v>
      </c>
      <c r="W2">
        <f>Calcs!W171</f>
        <v>2834043.2248442862</v>
      </c>
      <c r="X2">
        <f>Calcs!X171</f>
        <v>2834871.8779411204</v>
      </c>
      <c r="Y2">
        <f>Calcs!Y171</f>
        <v>2835697.5318371751</v>
      </c>
      <c r="Z2">
        <f>Calcs!Z171</f>
        <v>2836520.1744351033</v>
      </c>
      <c r="AA2">
        <f>Calcs!AA171</f>
        <v>2837339.7936124257</v>
      </c>
      <c r="AB2">
        <f>Calcs!AB171</f>
        <v>2838156.3772215992</v>
      </c>
    </row>
    <row r="4" spans="1:28" x14ac:dyDescent="0.45">
      <c r="A4" s="3" t="s">
        <v>266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Calcs!B172</f>
        <v>869888.84977116133</v>
      </c>
      <c r="C2">
        <f>Calcs!C172</f>
        <v>1106960.223947824</v>
      </c>
      <c r="D2">
        <f>Calcs!D172</f>
        <v>1399644.3357113753</v>
      </c>
      <c r="E2">
        <f>Calcs!E172</f>
        <v>1756539.5830655363</v>
      </c>
      <c r="F2">
        <f>Calcs!F172</f>
        <v>2184708.7225649245</v>
      </c>
      <c r="G2">
        <f>Calcs!G172</f>
        <v>2687057.8032355001</v>
      </c>
      <c r="H2">
        <f>Calcs!H172</f>
        <v>3257951.7833484598</v>
      </c>
      <c r="I2">
        <f>Calcs!I172</f>
        <v>3412660.2355623748</v>
      </c>
      <c r="J2">
        <f>Calcs!J172</f>
        <v>3567221.7856480908</v>
      </c>
      <c r="K2">
        <f>Calcs!K172</f>
        <v>3720052.0721595753</v>
      </c>
      <c r="L2">
        <f>Calcs!L172</f>
        <v>3869266.9341771579</v>
      </c>
      <c r="M2">
        <f>Calcs!M172</f>
        <v>4012661.0606984878</v>
      </c>
      <c r="N2">
        <f>Calcs!N172</f>
        <v>4046230.952332099</v>
      </c>
      <c r="O2">
        <f>Calcs!O172</f>
        <v>4079044.9999801191</v>
      </c>
      <c r="P2">
        <f>Calcs!P172</f>
        <v>4111045.5057578795</v>
      </c>
      <c r="Q2">
        <f>Calcs!Q172</f>
        <v>4142173.0216168561</v>
      </c>
      <c r="R2">
        <f>Calcs!R172</f>
        <v>4172366.4002593989</v>
      </c>
      <c r="S2">
        <f>Calcs!S172</f>
        <v>4179642.0630475455</v>
      </c>
      <c r="T2">
        <f>Calcs!T172</f>
        <v>4186849.9741714559</v>
      </c>
      <c r="U2">
        <f>Calcs!U172</f>
        <v>4193989.0551270428</v>
      </c>
      <c r="V2">
        <f>Calcs!V172</f>
        <v>4201058.2208939847</v>
      </c>
      <c r="W2">
        <f>Calcs!W172</f>
        <v>4208056.3800420566</v>
      </c>
      <c r="X2">
        <f>Calcs!X172</f>
        <v>4209786.1666596793</v>
      </c>
      <c r="Y2">
        <f>Calcs!Y172</f>
        <v>4211511.3524701232</v>
      </c>
      <c r="Z2">
        <f>Calcs!Z172</f>
        <v>4213231.9199098805</v>
      </c>
      <c r="AA2">
        <f>Calcs!AA172</f>
        <v>4214947.8513909131</v>
      </c>
      <c r="AB2">
        <f>Calcs!AB172</f>
        <v>4216659.1293007713</v>
      </c>
    </row>
    <row r="4" spans="1:28" x14ac:dyDescent="0.45">
      <c r="A4" s="3" t="s">
        <v>266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Calcs!B173</f>
        <v>869888.84977116133</v>
      </c>
      <c r="C2">
        <f>Calcs!C173</f>
        <v>1141209.9085778454</v>
      </c>
      <c r="D2">
        <f>Calcs!D173</f>
        <v>1485971.7438175194</v>
      </c>
      <c r="E2">
        <f>Calcs!E173</f>
        <v>1918439.4175225827</v>
      </c>
      <c r="F2">
        <f>Calcs!F173</f>
        <v>2451998.911280144</v>
      </c>
      <c r="G2">
        <f>Calcs!G173</f>
        <v>3095770.079089452</v>
      </c>
      <c r="H2">
        <f>Calcs!H173</f>
        <v>3848642.8959603892</v>
      </c>
      <c r="I2">
        <f>Calcs!I173</f>
        <v>4058680.8222759673</v>
      </c>
      <c r="J2">
        <f>Calcs!J173</f>
        <v>4269962.4609326329</v>
      </c>
      <c r="K2">
        <f>Calcs!K173</f>
        <v>4480262.6882789321</v>
      </c>
      <c r="L2">
        <f>Calcs!L173</f>
        <v>4686895.5621361369</v>
      </c>
      <c r="M2">
        <f>Calcs!M173</f>
        <v>4886680.2302431418</v>
      </c>
      <c r="N2">
        <f>Calcs!N173</f>
        <v>4933518.5539512923</v>
      </c>
      <c r="O2">
        <f>Calcs!O173</f>
        <v>4979324.6921061259</v>
      </c>
      <c r="P2">
        <f>Calcs!P173</f>
        <v>5024011.1001217086</v>
      </c>
      <c r="Q2">
        <f>Calcs!Q173</f>
        <v>5067487.5024298709</v>
      </c>
      <c r="R2">
        <f>Calcs!R173</f>
        <v>5109660.9925541533</v>
      </c>
      <c r="S2">
        <f>Calcs!S173</f>
        <v>5119800.2727493597</v>
      </c>
      <c r="T2">
        <f>Calcs!T173</f>
        <v>5129843.1613490535</v>
      </c>
      <c r="U2">
        <f>Calcs!U173</f>
        <v>5139788.0031060642</v>
      </c>
      <c r="V2">
        <f>Calcs!V173</f>
        <v>5149633.1329254741</v>
      </c>
      <c r="W2">
        <f>Calcs!W173</f>
        <v>5159376.8760716561</v>
      </c>
      <c r="X2">
        <f>Calcs!X173</f>
        <v>5161783.0805867985</v>
      </c>
      <c r="Y2">
        <f>Calcs!Y173</f>
        <v>5164182.6860441389</v>
      </c>
      <c r="Z2">
        <f>Calcs!Z173</f>
        <v>5166575.6654324327</v>
      </c>
      <c r="AA2">
        <f>Calcs!AA173</f>
        <v>5168961.9917039815</v>
      </c>
      <c r="AB2">
        <f>Calcs!AB173</f>
        <v>5171341.6377748698</v>
      </c>
    </row>
    <row r="4" spans="1:28" x14ac:dyDescent="0.45">
      <c r="A4" s="3" t="s">
        <v>266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Methodology</vt:lpstr>
      <vt:lpstr>Keys</vt:lpstr>
      <vt:lpstr>EPRI_PI2026</vt:lpstr>
      <vt:lpstr>EPRI_DC_2023</vt:lpstr>
      <vt:lpstr>EIA861_sales</vt:lpstr>
      <vt:lpstr>DC_classification</vt:lpstr>
      <vt:lpstr>State Policies</vt:lpstr>
      <vt:lpstr>State Calculations</vt:lpstr>
      <vt:lpstr>Calcs</vt:lpstr>
      <vt:lpstr>BDCL-low</vt:lpstr>
      <vt:lpstr>BDCL-mid</vt:lpstr>
      <vt:lpstr>BDCL-high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2026-09-01T20:06:22Z</dcterms:created>
  <dcterms:modified xsi:type="dcterms:W3CDTF">2026-09-01T22:21:34Z</dcterms:modified>
</cp:coreProperties>
</file>